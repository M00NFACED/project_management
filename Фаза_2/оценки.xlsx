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ard\Desktop\ПРОЕКТМЭН\2\"/>
    </mc:Choice>
  </mc:AlternateContent>
  <xr:revisionPtr revIDLastSave="0" documentId="13_ncr:1_{C2E553BA-52AA-4003-9605-067B58FDE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adj" localSheetId="0" hidden="1">Sheet1!$O$3:$Q$9,Sheet1!$U$10:$W$10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Sheet1!$O$10:$Q$10</definedName>
    <definedName name="solver_lhs10" localSheetId="0" hidden="1">Sheet1!$W$10</definedName>
    <definedName name="solver_lhs2" localSheetId="0" hidden="1">Sheet1!$O$3:$Q$9</definedName>
    <definedName name="solver_lhs3" localSheetId="0" hidden="1">Sheet1!$R$3:$R$9</definedName>
    <definedName name="solver_lhs4" localSheetId="0" hidden="1">Sheet1!$U$10</definedName>
    <definedName name="solver_lhs5" localSheetId="0" hidden="1">Sheet1!$U$10</definedName>
    <definedName name="solver_lhs6" localSheetId="0" hidden="1">Sheet1!$U$10:$W$10</definedName>
    <definedName name="solver_lhs7" localSheetId="0" hidden="1">Sheet1!$V$10</definedName>
    <definedName name="solver_lhs8" localSheetId="0" hidden="1">Sheet1!$V$10</definedName>
    <definedName name="solver_lhs9" localSheetId="0" hidden="1">Sheet1!$W$10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Sheet1!$T$9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10" localSheetId="0" hidden="1">3</definedName>
    <definedName name="solver_rel2" localSheetId="0" hidden="1">5</definedName>
    <definedName name="solver_rel3" localSheetId="0" hidden="1">2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Sheet1!$T$5</definedName>
    <definedName name="solver_rhs10" localSheetId="0" hidden="1">Sheet1!$T$7 - Sheet1!$Q$10</definedName>
    <definedName name="solver_rhs2" localSheetId="0" hidden="1">"binary"</definedName>
    <definedName name="solver_rhs3" localSheetId="0" hidden="1">Sheet1!$T$2</definedName>
    <definedName name="solver_rhs4" localSheetId="0" hidden="1">Sheet1!$O$10 - Sheet1!$T$7</definedName>
    <definedName name="solver_rhs5" localSheetId="0" hidden="1">Sheet1!$T$7 - Sheet1!$O$10</definedName>
    <definedName name="solver_rhs6" localSheetId="0" hidden="1">0</definedName>
    <definedName name="solver_rhs7" localSheetId="0" hidden="1">Sheet1!$P$10 - Sheet1!$T$7</definedName>
    <definedName name="solver_rhs8" localSheetId="0" hidden="1">Sheet1!$T$7 - Sheet1!$P$10</definedName>
    <definedName name="solver_rhs9" localSheetId="0" hidden="1">Sheet1!$Q$10 - Sheet1!$T$7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3" i="1"/>
  <c r="T4" i="1"/>
  <c r="R5" i="1"/>
  <c r="R3" i="1"/>
  <c r="T11" i="1"/>
  <c r="T10" i="1"/>
  <c r="Q10" i="1"/>
  <c r="P10" i="1"/>
  <c r="O10" i="1"/>
  <c r="R4" i="1"/>
  <c r="R6" i="1"/>
  <c r="R7" i="1"/>
  <c r="R8" i="1"/>
  <c r="R9" i="1"/>
  <c r="T9" i="1" l="1"/>
  <c r="T7" i="1"/>
</calcChain>
</file>

<file path=xl/sharedStrings.xml><?xml version="1.0" encoding="utf-8"?>
<sst xmlns="http://schemas.openxmlformats.org/spreadsheetml/2006/main" count="70" uniqueCount="41">
  <si>
    <t>Оценка сложности</t>
  </si>
  <si>
    <t>Этап 1</t>
  </si>
  <si>
    <t>Этап 2</t>
  </si>
  <si>
    <t>Результат</t>
  </si>
  <si>
    <t>Задачи</t>
  </si>
  <si>
    <t>Общая</t>
  </si>
  <si>
    <t>T1</t>
  </si>
  <si>
    <t>Написание Use Cases</t>
  </si>
  <si>
    <t>T2</t>
  </si>
  <si>
    <t>Оценка в OSMIC FP</t>
  </si>
  <si>
    <t>T3</t>
  </si>
  <si>
    <t>Оценка в Use Case Points</t>
  </si>
  <si>
    <t>T4</t>
  </si>
  <si>
    <t>Оценить коллектив. эксп. путем</t>
  </si>
  <si>
    <t>T5</t>
  </si>
  <si>
    <t>Оценка User Stories</t>
  </si>
  <si>
    <t>T6</t>
  </si>
  <si>
    <t>Агрегация оценок</t>
  </si>
  <si>
    <t>T7</t>
  </si>
  <si>
    <t>Анализ и выводы</t>
  </si>
  <si>
    <t>Пекшев</t>
  </si>
  <si>
    <t>Ряховский</t>
  </si>
  <si>
    <t>А</t>
  </si>
  <si>
    <t>Оценка предпочтений</t>
  </si>
  <si>
    <t>т1</t>
  </si>
  <si>
    <t>т2</t>
  </si>
  <si>
    <t>т3</t>
  </si>
  <si>
    <t>т4</t>
  </si>
  <si>
    <t>т5</t>
  </si>
  <si>
    <t>т6</t>
  </si>
  <si>
    <t>т7</t>
  </si>
  <si>
    <t>Огр</t>
  </si>
  <si>
    <t>общ сумма предп</t>
  </si>
  <si>
    <t>общ сложн</t>
  </si>
  <si>
    <t>лямбда</t>
  </si>
  <si>
    <t>средняя нагрузка</t>
  </si>
  <si>
    <t>наказание за &gt; средней нагрузки</t>
  </si>
  <si>
    <t>линеаризация чтобы избавиться от модуля</t>
  </si>
  <si>
    <t>перекос нагрузки</t>
  </si>
  <si>
    <t>доп переменные для солвера, которые он подбирает</t>
  </si>
  <si>
    <t>целевая функция (предпочтение - модуль[лямбда*перекос])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</si>
</sst>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4"/>
      <color rgb="FF000000"/>
      <name val="Calibri"/>
      <family val="2"/>
      <charset val="204"/>
    </font>
    <font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9" tint="-0.249977111117893"/>
        <bgColor theme="0"/>
      </patternFill>
    </fill>
    <fill>
      <patternFill patternType="solid">
        <fgColor rgb="FFFF0000"/>
        <bgColor theme="9"/>
      </patternFill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3" xfId="0" applyFont="1" applyBorder="1"/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0" borderId="18" xfId="0" applyFont="1" applyBorder="1"/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2" xfId="0" applyBorder="1"/>
    <xf numFmtId="0" fontId="1" fillId="0" borderId="3" xfId="0" applyFont="1" applyBorder="1" applyAlignment="1">
      <alignment horizontal="center"/>
    </xf>
    <xf numFmtId="0" fontId="0" fillId="5" borderId="28" xfId="0" applyFill="1" applyBorder="1"/>
    <xf numFmtId="0" fontId="0" fillId="5" borderId="29" xfId="0" applyFill="1" applyBorder="1"/>
    <xf numFmtId="0" fontId="0" fillId="5" borderId="26" xfId="0" applyFill="1" applyBorder="1"/>
    <xf numFmtId="0" fontId="0" fillId="5" borderId="27" xfId="0" applyFill="1" applyBorder="1"/>
    <xf numFmtId="0" fontId="0" fillId="0" borderId="30" xfId="0" applyBorder="1"/>
    <xf numFmtId="0" fontId="0" fillId="0" borderId="31" xfId="0" applyBorder="1"/>
    <xf numFmtId="0" fontId="0" fillId="5" borderId="33" xfId="0" applyFill="1" applyBorder="1"/>
    <xf numFmtId="0" fontId="0" fillId="5" borderId="32" xfId="0" applyFill="1" applyBorder="1"/>
    <xf numFmtId="0" fontId="0" fillId="4" borderId="26" xfId="0" applyFill="1" applyBorder="1"/>
    <xf numFmtId="0" fontId="0" fillId="5" borderId="34" xfId="0" applyFill="1" applyBorder="1"/>
    <xf numFmtId="0" fontId="4" fillId="0" borderId="14" xfId="0" applyFont="1" applyBorder="1" applyAlignment="1">
      <alignment horizontal="center"/>
    </xf>
    <xf numFmtId="0" fontId="0" fillId="0" borderId="35" xfId="0" applyBorder="1"/>
    <xf numFmtId="0" fontId="0" fillId="0" borderId="2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0" fillId="3" borderId="0" xfId="0" applyFill="1"/>
    <xf numFmtId="0" fontId="0" fillId="9" borderId="0" xfId="0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0" borderId="22" xfId="0" applyFont="1" applyBorder="1" applyAlignment="1">
      <alignment horizontal="center"/>
    </xf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topLeftCell="A8" workbookViewId="0">
      <selection activeCell="H17" sqref="H17"/>
    </sheetView>
  </sheetViews>
  <sheetFormatPr defaultRowHeight="14.4" x14ac:dyDescent="0.3"/>
  <cols>
    <col min="2" max="2" width="34.5546875" customWidth="1"/>
    <col min="19" max="19" width="16.44140625" customWidth="1"/>
  </cols>
  <sheetData>
    <row r="1" spans="1:24" ht="15" thickBot="1" x14ac:dyDescent="0.35"/>
    <row r="2" spans="1:24" ht="19.2" thickTop="1" thickBot="1" x14ac:dyDescent="0.4">
      <c r="A2" s="46" t="s">
        <v>0</v>
      </c>
      <c r="B2" s="47"/>
      <c r="C2" s="48" t="s">
        <v>1</v>
      </c>
      <c r="D2" s="49"/>
      <c r="E2" s="50"/>
      <c r="F2" s="48" t="s">
        <v>2</v>
      </c>
      <c r="G2" s="49"/>
      <c r="H2" s="50"/>
      <c r="I2" s="12" t="s">
        <v>3</v>
      </c>
      <c r="N2" s="21"/>
      <c r="O2" s="16" t="s">
        <v>20</v>
      </c>
      <c r="P2" s="16" t="s">
        <v>21</v>
      </c>
      <c r="Q2" s="16" t="s">
        <v>22</v>
      </c>
      <c r="R2" s="15" t="s">
        <v>31</v>
      </c>
      <c r="T2">
        <v>1</v>
      </c>
    </row>
    <row r="3" spans="1:24" ht="18.600000000000001" thickTop="1" x14ac:dyDescent="0.35">
      <c r="A3" s="39"/>
      <c r="B3" s="29" t="s">
        <v>4</v>
      </c>
      <c r="C3" s="30" t="s">
        <v>20</v>
      </c>
      <c r="D3" s="31" t="s">
        <v>21</v>
      </c>
      <c r="E3" s="32" t="s">
        <v>22</v>
      </c>
      <c r="F3" s="30" t="s">
        <v>20</v>
      </c>
      <c r="G3" s="31" t="s">
        <v>21</v>
      </c>
      <c r="H3" s="33" t="s">
        <v>22</v>
      </c>
      <c r="I3" s="34" t="s">
        <v>5</v>
      </c>
      <c r="N3" s="19" t="s">
        <v>24</v>
      </c>
      <c r="O3" s="24">
        <v>0</v>
      </c>
      <c r="P3" s="25">
        <v>1</v>
      </c>
      <c r="Q3" s="26">
        <v>0</v>
      </c>
      <c r="R3" s="19">
        <f>SUM(O3:Q3)</f>
        <v>1</v>
      </c>
      <c r="S3" t="s">
        <v>32</v>
      </c>
      <c r="T3">
        <f>SUMPRODUCT(O3:Q9, F4:H10)</f>
        <v>52</v>
      </c>
    </row>
    <row r="4" spans="1:24" ht="18" x14ac:dyDescent="0.35">
      <c r="A4" s="35" t="s">
        <v>6</v>
      </c>
      <c r="B4" s="1" t="s">
        <v>7</v>
      </c>
      <c r="C4" s="2">
        <v>8</v>
      </c>
      <c r="D4" s="3">
        <v>13</v>
      </c>
      <c r="E4" s="4">
        <v>8</v>
      </c>
      <c r="F4" s="2">
        <v>13</v>
      </c>
      <c r="G4" s="3">
        <v>13</v>
      </c>
      <c r="H4" s="5">
        <v>13</v>
      </c>
      <c r="I4" s="37">
        <v>13</v>
      </c>
      <c r="N4" s="20" t="s">
        <v>25</v>
      </c>
      <c r="O4" s="17">
        <v>0</v>
      </c>
      <c r="P4">
        <v>0</v>
      </c>
      <c r="Q4" s="18">
        <v>1</v>
      </c>
      <c r="R4" s="13">
        <f t="shared" ref="R4:R9" si="0">SUM(O4:Q4)</f>
        <v>1</v>
      </c>
      <c r="S4" t="s">
        <v>33</v>
      </c>
      <c r="T4">
        <f>SUMPRODUCT($O$3:$Q$9,$C$14:$E$20)</f>
        <v>41</v>
      </c>
    </row>
    <row r="5" spans="1:24" ht="18" x14ac:dyDescent="0.35">
      <c r="A5" s="35" t="s">
        <v>8</v>
      </c>
      <c r="B5" s="1" t="s">
        <v>9</v>
      </c>
      <c r="C5" s="2">
        <v>5</v>
      </c>
      <c r="D5" s="3">
        <v>5</v>
      </c>
      <c r="E5" s="4">
        <v>8</v>
      </c>
      <c r="F5" s="2">
        <v>8</v>
      </c>
      <c r="G5" s="3">
        <v>8</v>
      </c>
      <c r="H5" s="5">
        <v>8</v>
      </c>
      <c r="I5" s="37">
        <v>8</v>
      </c>
      <c r="N5" s="20" t="s">
        <v>26</v>
      </c>
      <c r="O5" s="17">
        <v>0</v>
      </c>
      <c r="P5">
        <v>1</v>
      </c>
      <c r="Q5" s="18">
        <v>0</v>
      </c>
      <c r="R5" s="20">
        <f>SUM(O5:Q5)</f>
        <v>1</v>
      </c>
      <c r="T5">
        <v>20</v>
      </c>
    </row>
    <row r="6" spans="1:24" ht="18" x14ac:dyDescent="0.35">
      <c r="A6" s="35" t="s">
        <v>10</v>
      </c>
      <c r="B6" s="1" t="s">
        <v>11</v>
      </c>
      <c r="C6" s="2">
        <v>3</v>
      </c>
      <c r="D6" s="3">
        <v>5</v>
      </c>
      <c r="E6" s="4">
        <v>8</v>
      </c>
      <c r="F6" s="2">
        <v>5</v>
      </c>
      <c r="G6" s="3">
        <v>5</v>
      </c>
      <c r="H6" s="5">
        <v>5</v>
      </c>
      <c r="I6" s="37">
        <v>5</v>
      </c>
      <c r="N6" s="20" t="s">
        <v>27</v>
      </c>
      <c r="O6" s="17">
        <v>0</v>
      </c>
      <c r="P6">
        <v>0</v>
      </c>
      <c r="Q6" s="18">
        <v>1</v>
      </c>
      <c r="R6" s="13">
        <f t="shared" si="0"/>
        <v>1</v>
      </c>
      <c r="S6" s="44" t="s">
        <v>34</v>
      </c>
      <c r="T6" s="44">
        <v>1</v>
      </c>
      <c r="U6" s="44" t="s">
        <v>36</v>
      </c>
    </row>
    <row r="7" spans="1:24" ht="18" x14ac:dyDescent="0.35">
      <c r="A7" s="35" t="s">
        <v>12</v>
      </c>
      <c r="B7" s="1" t="s">
        <v>13</v>
      </c>
      <c r="C7" s="2">
        <v>8</v>
      </c>
      <c r="D7" s="3">
        <v>5</v>
      </c>
      <c r="E7" s="4">
        <v>13</v>
      </c>
      <c r="F7" s="2">
        <v>5</v>
      </c>
      <c r="G7" s="3">
        <v>5</v>
      </c>
      <c r="H7" s="5">
        <v>5</v>
      </c>
      <c r="I7" s="37">
        <v>5</v>
      </c>
      <c r="N7" s="20" t="s">
        <v>28</v>
      </c>
      <c r="O7" s="17">
        <v>1</v>
      </c>
      <c r="P7">
        <v>0</v>
      </c>
      <c r="Q7" s="18">
        <v>0</v>
      </c>
      <c r="R7" s="20">
        <f t="shared" si="0"/>
        <v>1</v>
      </c>
      <c r="S7" s="44" t="s">
        <v>35</v>
      </c>
      <c r="T7" s="44">
        <f>AVERAGE($O$10:$Q$10)</f>
        <v>17.333333333333332</v>
      </c>
    </row>
    <row r="8" spans="1:24" ht="18" x14ac:dyDescent="0.35">
      <c r="A8" s="35" t="s">
        <v>14</v>
      </c>
      <c r="B8" s="1" t="s">
        <v>15</v>
      </c>
      <c r="C8" s="2">
        <v>8</v>
      </c>
      <c r="D8" s="3">
        <v>5</v>
      </c>
      <c r="E8" s="4">
        <v>8</v>
      </c>
      <c r="F8" s="2">
        <v>8</v>
      </c>
      <c r="G8" s="3">
        <v>8</v>
      </c>
      <c r="H8" s="5">
        <v>8</v>
      </c>
      <c r="I8" s="37">
        <v>8</v>
      </c>
      <c r="N8" s="20" t="s">
        <v>29</v>
      </c>
      <c r="O8" s="17">
        <v>0</v>
      </c>
      <c r="P8">
        <v>0</v>
      </c>
      <c r="Q8" s="18">
        <v>1</v>
      </c>
      <c r="R8" s="13">
        <f t="shared" si="0"/>
        <v>1</v>
      </c>
      <c r="S8" s="44" t="s">
        <v>38</v>
      </c>
      <c r="T8" s="44">
        <f>SUM($U$10:$W$10)</f>
        <v>2.6666666666666816</v>
      </c>
    </row>
    <row r="9" spans="1:24" ht="18.600000000000001" thickBot="1" x14ac:dyDescent="0.4">
      <c r="A9" s="35" t="s">
        <v>16</v>
      </c>
      <c r="B9" s="1" t="s">
        <v>17</v>
      </c>
      <c r="C9" s="2">
        <v>3</v>
      </c>
      <c r="D9" s="3">
        <v>8</v>
      </c>
      <c r="E9" s="4">
        <v>5</v>
      </c>
      <c r="F9" s="2">
        <v>5</v>
      </c>
      <c r="G9" s="3">
        <v>5</v>
      </c>
      <c r="H9" s="5">
        <v>5</v>
      </c>
      <c r="I9" s="37">
        <v>5</v>
      </c>
      <c r="N9" s="14" t="s">
        <v>30</v>
      </c>
      <c r="O9" s="27">
        <v>1</v>
      </c>
      <c r="P9" s="11">
        <v>0</v>
      </c>
      <c r="Q9" s="28">
        <v>0</v>
      </c>
      <c r="R9" s="22">
        <f t="shared" si="0"/>
        <v>1</v>
      </c>
      <c r="S9" s="44" t="s">
        <v>40</v>
      </c>
      <c r="T9" s="44">
        <f>$T$4 - $T$6*$T$8</f>
        <v>38.333333333333321</v>
      </c>
      <c r="U9" s="44" t="s">
        <v>20</v>
      </c>
      <c r="V9" s="44" t="s">
        <v>21</v>
      </c>
      <c r="W9" s="44" t="s">
        <v>22</v>
      </c>
      <c r="X9" s="44" t="s">
        <v>37</v>
      </c>
    </row>
    <row r="10" spans="1:24" ht="18.600000000000001" thickBot="1" x14ac:dyDescent="0.4">
      <c r="A10" s="36" t="s">
        <v>18</v>
      </c>
      <c r="B10" s="6" t="s">
        <v>19</v>
      </c>
      <c r="C10" s="7">
        <v>8</v>
      </c>
      <c r="D10" s="8">
        <v>13</v>
      </c>
      <c r="E10" s="9">
        <v>8</v>
      </c>
      <c r="F10" s="7">
        <v>8</v>
      </c>
      <c r="G10" s="8">
        <v>8</v>
      </c>
      <c r="H10" s="10">
        <v>8</v>
      </c>
      <c r="I10" s="38">
        <v>8</v>
      </c>
      <c r="O10">
        <f>SUMPRODUCT(O3:O9, $I$4:$I$10)</f>
        <v>16</v>
      </c>
      <c r="P10">
        <f>SUMPRODUCT(P3:P9, $I$4:$I$10)</f>
        <v>18</v>
      </c>
      <c r="Q10">
        <f>SUMPRODUCT(Q3:Q9, $I$4:$I$10)</f>
        <v>18</v>
      </c>
      <c r="S10" s="45" t="s">
        <v>32</v>
      </c>
      <c r="T10" s="45">
        <f>SUMPRODUCT($O$3:$Q$9, C14:E20)</f>
        <v>41</v>
      </c>
      <c r="U10" s="44">
        <v>1.3333333333333286</v>
      </c>
      <c r="V10" s="44">
        <v>0.66666666666669294</v>
      </c>
      <c r="W10" s="44">
        <v>0.66666666666666019</v>
      </c>
      <c r="X10" s="44" t="s">
        <v>39</v>
      </c>
    </row>
    <row r="11" spans="1:24" ht="15" thickTop="1" x14ac:dyDescent="0.3">
      <c r="S11" s="45" t="s">
        <v>33</v>
      </c>
      <c r="T11" s="45">
        <f>SUMPRODUCT(O3:Q9, F4:H10)</f>
        <v>52</v>
      </c>
    </row>
    <row r="12" spans="1:24" ht="18" x14ac:dyDescent="0.35">
      <c r="A12" s="51" t="s">
        <v>23</v>
      </c>
      <c r="B12" s="52"/>
      <c r="C12" s="52"/>
      <c r="D12" s="52"/>
      <c r="E12" s="52"/>
    </row>
    <row r="13" spans="1:24" ht="18" x14ac:dyDescent="0.35">
      <c r="A13" s="40"/>
      <c r="B13" s="41" t="s">
        <v>4</v>
      </c>
      <c r="C13" s="42" t="s">
        <v>20</v>
      </c>
      <c r="D13" s="42" t="s">
        <v>21</v>
      </c>
      <c r="E13" s="42" t="s">
        <v>22</v>
      </c>
    </row>
    <row r="14" spans="1:24" ht="18" x14ac:dyDescent="0.35">
      <c r="A14" s="43" t="s">
        <v>6</v>
      </c>
      <c r="B14" s="1" t="s">
        <v>7</v>
      </c>
      <c r="C14" s="23">
        <v>1</v>
      </c>
      <c r="D14" s="23">
        <v>5</v>
      </c>
      <c r="E14" s="23">
        <v>8</v>
      </c>
    </row>
    <row r="15" spans="1:24" ht="18" x14ac:dyDescent="0.35">
      <c r="A15" s="43" t="s">
        <v>8</v>
      </c>
      <c r="B15" s="1" t="s">
        <v>9</v>
      </c>
      <c r="C15" s="23">
        <v>3</v>
      </c>
      <c r="D15" s="23">
        <v>1</v>
      </c>
      <c r="E15" s="23">
        <v>8</v>
      </c>
    </row>
    <row r="16" spans="1:24" ht="18" x14ac:dyDescent="0.35">
      <c r="A16" s="43" t="s">
        <v>10</v>
      </c>
      <c r="B16" s="1" t="s">
        <v>11</v>
      </c>
      <c r="C16" s="23">
        <v>5</v>
      </c>
      <c r="D16" s="23">
        <v>8</v>
      </c>
      <c r="E16" s="23">
        <v>1</v>
      </c>
    </row>
    <row r="17" spans="1:5" ht="18" x14ac:dyDescent="0.35">
      <c r="A17" s="43" t="s">
        <v>12</v>
      </c>
      <c r="B17" s="1" t="s">
        <v>13</v>
      </c>
      <c r="C17" s="23">
        <v>5</v>
      </c>
      <c r="D17" s="23">
        <v>1</v>
      </c>
      <c r="E17" s="23">
        <v>8</v>
      </c>
    </row>
    <row r="18" spans="1:5" ht="18" x14ac:dyDescent="0.35">
      <c r="A18" s="43" t="s">
        <v>14</v>
      </c>
      <c r="B18" s="1" t="s">
        <v>15</v>
      </c>
      <c r="C18" s="23">
        <v>1</v>
      </c>
      <c r="D18" s="23">
        <v>1</v>
      </c>
      <c r="E18" s="23">
        <v>5</v>
      </c>
    </row>
    <row r="19" spans="1:5" ht="18" x14ac:dyDescent="0.35">
      <c r="A19" s="43" t="s">
        <v>16</v>
      </c>
      <c r="B19" s="1" t="s">
        <v>17</v>
      </c>
      <c r="C19" s="23">
        <v>5</v>
      </c>
      <c r="D19" s="23">
        <v>3</v>
      </c>
      <c r="E19" s="23">
        <v>8</v>
      </c>
    </row>
    <row r="20" spans="1:5" ht="18.600000000000001" thickBot="1" x14ac:dyDescent="0.4">
      <c r="A20" s="43" t="s">
        <v>18</v>
      </c>
      <c r="B20" s="6" t="s">
        <v>19</v>
      </c>
      <c r="C20" s="23">
        <v>3</v>
      </c>
      <c r="D20" s="23">
        <v>3</v>
      </c>
      <c r="E20" s="23">
        <v>8</v>
      </c>
    </row>
    <row r="21" spans="1:5" ht="15" thickTop="1" x14ac:dyDescent="0.3"/>
  </sheetData>
  <mergeCells count="4">
    <mergeCell ref="A2:B2"/>
    <mergeCell ref="C2:E2"/>
    <mergeCell ref="F2:H2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john</dc:creator>
  <cp:lastModifiedBy>connor john</cp:lastModifiedBy>
  <dcterms:created xsi:type="dcterms:W3CDTF">2015-06-05T18:17:20Z</dcterms:created>
  <dcterms:modified xsi:type="dcterms:W3CDTF">2026-01-08T14:03:31Z</dcterms:modified>
</cp:coreProperties>
</file>