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ard\Desktop\ПРОЕКТМЭН\3\"/>
    </mc:Choice>
  </mc:AlternateContent>
  <xr:revisionPtr revIDLastSave="0" documentId="13_ncr:1_{1D7F4D27-CAAC-4172-8BA6-73CD77B97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 Case Poi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 s="1"/>
  <c r="D15" i="1"/>
  <c r="D14" i="1"/>
  <c r="D13" i="1"/>
  <c r="D12" i="1"/>
</calcChain>
</file>

<file path=xl/sharedStrings.xml><?xml version="1.0" encoding="utf-8"?>
<sst xmlns="http://schemas.openxmlformats.org/spreadsheetml/2006/main" count="132" uniqueCount="104">
  <si>
    <t>Сложность UC</t>
  </si>
  <si>
    <t>Количество транзакций</t>
  </si>
  <si>
    <t>Вес</t>
  </si>
  <si>
    <t>Unadjusted Actor Weight (UAW)</t>
  </si>
  <si>
    <t>Простой</t>
  </si>
  <si>
    <t>3 или меньше</t>
  </si>
  <si>
    <t>Актор</t>
  </si>
  <si>
    <t>Тип</t>
  </si>
  <si>
    <t>Количество UC</t>
  </si>
  <si>
    <t>Средний</t>
  </si>
  <si>
    <t>от 4 до 7</t>
  </si>
  <si>
    <t>Пользователь</t>
  </si>
  <si>
    <t>Сложный</t>
  </si>
  <si>
    <t>7 или больше</t>
  </si>
  <si>
    <t>Администратор</t>
  </si>
  <si>
    <t>Email-сервис</t>
  </si>
  <si>
    <t>Тип Актора</t>
  </si>
  <si>
    <t>Пример</t>
  </si>
  <si>
    <t>Производство</t>
  </si>
  <si>
    <t>Взаимодействие через API</t>
  </si>
  <si>
    <t>Доставка</t>
  </si>
  <si>
    <t>Протокол или CLI</t>
  </si>
  <si>
    <t>GUI</t>
  </si>
  <si>
    <t>Unadjusted Use Case Weight (UUCW)</t>
  </si>
  <si>
    <t>UAW:</t>
  </si>
  <si>
    <t>ID</t>
  </si>
  <si>
    <t>Название</t>
  </si>
  <si>
    <t>Сложность</t>
  </si>
  <si>
    <t>UUCW:</t>
  </si>
  <si>
    <t>UC-1</t>
  </si>
  <si>
    <t>Регистрация</t>
  </si>
  <si>
    <t>TCF:</t>
  </si>
  <si>
    <t>UC-2</t>
  </si>
  <si>
    <t>Вход</t>
  </si>
  <si>
    <t>ECF:</t>
  </si>
  <si>
    <t>UC-3</t>
  </si>
  <si>
    <t>Покупка готового торта</t>
  </si>
  <si>
    <t>UC-4</t>
  </si>
  <si>
    <t>История заказа и статусы</t>
  </si>
  <si>
    <t>UCP:</t>
  </si>
  <si>
    <t>UC-5</t>
  </si>
  <si>
    <t>Восстановление пароля</t>
  </si>
  <si>
    <t>Трудозатраты (человеко-часы):</t>
  </si>
  <si>
    <t>UC-6</t>
  </si>
  <si>
    <t>Конструктор торта</t>
  </si>
  <si>
    <t>UC-7</t>
  </si>
  <si>
    <t>Админ: вход и панель</t>
  </si>
  <si>
    <t>UC-8</t>
  </si>
  <si>
    <t>Админ: редактирование торта</t>
  </si>
  <si>
    <t>UC-9</t>
  </si>
  <si>
    <t>Админ: добавление торта</t>
  </si>
  <si>
    <t>UC-10</t>
  </si>
  <si>
    <t>Админ: управление ассортиментом</t>
  </si>
  <si>
    <t>UC-11</t>
  </si>
  <si>
    <t>Админ: редактирование заказа</t>
  </si>
  <si>
    <t>UC-12</t>
  </si>
  <si>
    <t>Админ: выгрузка на производство</t>
  </si>
  <si>
    <t>Technical Complexity Factor (TCF)</t>
  </si>
  <si>
    <t>Фактор</t>
  </si>
  <si>
    <t>Описание</t>
  </si>
  <si>
    <t>Оценка</t>
  </si>
  <si>
    <t>T1</t>
  </si>
  <si>
    <t>Распределённая система</t>
  </si>
  <si>
    <t>T2</t>
  </si>
  <si>
    <t>Производительность/время отклика</t>
  </si>
  <si>
    <t>T3</t>
  </si>
  <si>
    <t>Эффективность использования</t>
  </si>
  <si>
    <t>T4</t>
  </si>
  <si>
    <t>Сложная обработка</t>
  </si>
  <si>
    <t>T5</t>
  </si>
  <si>
    <t>Переиспользуемый код</t>
  </si>
  <si>
    <t>T6</t>
  </si>
  <si>
    <t>Простота установки</t>
  </si>
  <si>
    <t>T7</t>
  </si>
  <si>
    <t>Простота использования</t>
  </si>
  <si>
    <t>T8</t>
  </si>
  <si>
    <t>Переносимость</t>
  </si>
  <si>
    <t>T9</t>
  </si>
  <si>
    <t>Простота изменений</t>
  </si>
  <si>
    <t>T10</t>
  </si>
  <si>
    <t>Параллельное использование</t>
  </si>
  <si>
    <t>T11</t>
  </si>
  <si>
    <t>Безопасность</t>
  </si>
  <si>
    <t>T12</t>
  </si>
  <si>
    <t>Доступ третьих сторон</t>
  </si>
  <si>
    <t>T13</t>
  </si>
  <si>
    <t>Необходимость в обучении</t>
  </si>
  <si>
    <t>Environmental Complexity Factor (ECF)</t>
  </si>
  <si>
    <t>E1</t>
  </si>
  <si>
    <t>Ознакомление с процессом разработки</t>
  </si>
  <si>
    <t>E2</t>
  </si>
  <si>
    <t>Опыт в предметной области</t>
  </si>
  <si>
    <t>E3</t>
  </si>
  <si>
    <t>Опыт в объектно-ориентированном подходе</t>
  </si>
  <si>
    <t>E4</t>
  </si>
  <si>
    <t>Возможности главного аналитика</t>
  </si>
  <si>
    <t>E5</t>
  </si>
  <si>
    <t>Мотивация</t>
  </si>
  <si>
    <t>E6</t>
  </si>
  <si>
    <t>Стабильность требований</t>
  </si>
  <si>
    <t>E7</t>
  </si>
  <si>
    <t>Частичная занятость</t>
  </si>
  <si>
    <t>E8</t>
  </si>
  <si>
    <t>Сложность языка программирования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</si>
</sst>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00B050"/>
        <bgColor rgb="FFEAD1DC"/>
      </patternFill>
    </fill>
    <fill>
      <patternFill patternType="solid">
        <fgColor rgb="FF00B050"/>
        <bgColor rgb="FFD0E0E3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9EAD3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2" borderId="1" xfId="0" applyFont="1" applyFill="1" applyBorder="1"/>
    <xf numFmtId="0" fontId="3" fillId="0" borderId="9" xfId="0" applyFont="1" applyBorder="1" applyAlignment="1">
      <alignment horizontal="center"/>
    </xf>
    <xf numFmtId="0" fontId="4" fillId="0" borderId="10" xfId="0" applyFont="1" applyBorder="1"/>
    <xf numFmtId="0" fontId="3" fillId="3" borderId="1" xfId="0" applyFont="1" applyFill="1" applyBorder="1"/>
    <xf numFmtId="0" fontId="3" fillId="0" borderId="6" xfId="0" applyFont="1" applyBorder="1" applyAlignment="1">
      <alignment horizontal="center"/>
    </xf>
    <xf numFmtId="0" fontId="4" fillId="0" borderId="1" xfId="0" applyFont="1" applyBorder="1"/>
    <xf numFmtId="0" fontId="3" fillId="4" borderId="1" xfId="0" applyFont="1" applyFill="1" applyBorder="1"/>
    <xf numFmtId="0" fontId="2" fillId="5" borderId="5" xfId="0" applyFont="1" applyFill="1" applyBorder="1"/>
    <xf numFmtId="0" fontId="3" fillId="5" borderId="5" xfId="0" applyFont="1" applyFill="1" applyBorder="1"/>
    <xf numFmtId="0" fontId="3" fillId="0" borderId="12" xfId="0" applyFont="1" applyBorder="1" applyAlignment="1">
      <alignment horizontal="center"/>
    </xf>
    <xf numFmtId="0" fontId="4" fillId="0" borderId="13" xfId="0" applyFont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6" borderId="4" xfId="0" applyFont="1" applyFill="1" applyBorder="1"/>
    <xf numFmtId="0" fontId="2" fillId="7" borderId="5" xfId="0" applyFont="1" applyFill="1" applyBorder="1" applyAlignment="1">
      <alignment horizontal="center"/>
    </xf>
    <xf numFmtId="0" fontId="0" fillId="8" borderId="15" xfId="0" applyFill="1" applyBorder="1"/>
    <xf numFmtId="0" fontId="0" fillId="8" borderId="16" xfId="0" applyFill="1" applyBorder="1"/>
    <xf numFmtId="0" fontId="2" fillId="7" borderId="8" xfId="0" applyFont="1" applyFill="1" applyBorder="1"/>
    <xf numFmtId="0" fontId="2" fillId="7" borderId="8" xfId="0" applyFont="1" applyFill="1" applyBorder="1" applyAlignment="1">
      <alignment horizontal="left"/>
    </xf>
    <xf numFmtId="0" fontId="3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E15" sqref="E15"/>
    </sheetView>
  </sheetViews>
  <sheetFormatPr defaultRowHeight="14.4" x14ac:dyDescent="0.3"/>
  <cols>
    <col min="2" max="2" width="14.33203125" customWidth="1"/>
    <col min="3" max="3" width="26.6640625" customWidth="1"/>
    <col min="4" max="4" width="9" customWidth="1"/>
    <col min="5" max="5" width="13.6640625" customWidth="1"/>
    <col min="6" max="6" width="17.21875" customWidth="1"/>
    <col min="7" max="7" width="39.109375" customWidth="1"/>
    <col min="8" max="8" width="10.88671875" customWidth="1"/>
    <col min="9" max="9" width="14.21875" customWidth="1"/>
    <col min="11" max="11" width="9.88671875" customWidth="1"/>
    <col min="12" max="12" width="35.33203125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22" t="s">
        <v>0</v>
      </c>
      <c r="C2" s="23" t="s">
        <v>1</v>
      </c>
      <c r="D2" s="24" t="s">
        <v>2</v>
      </c>
      <c r="E2" s="1"/>
      <c r="F2" s="25" t="s">
        <v>3</v>
      </c>
      <c r="G2" s="26"/>
      <c r="H2" s="26"/>
      <c r="I2" s="27"/>
    </row>
    <row r="3" spans="1:9" x14ac:dyDescent="0.3">
      <c r="A3" s="1"/>
      <c r="B3" s="2" t="s">
        <v>4</v>
      </c>
      <c r="C3" s="3" t="s">
        <v>5</v>
      </c>
      <c r="D3" s="4">
        <v>5</v>
      </c>
      <c r="E3" s="1"/>
      <c r="F3" s="28" t="s">
        <v>6</v>
      </c>
      <c r="G3" s="28" t="s">
        <v>7</v>
      </c>
      <c r="H3" s="28" t="s">
        <v>2</v>
      </c>
      <c r="I3" s="28" t="s">
        <v>8</v>
      </c>
    </row>
    <row r="4" spans="1:9" x14ac:dyDescent="0.3">
      <c r="A4" s="1"/>
      <c r="B4" s="2" t="s">
        <v>9</v>
      </c>
      <c r="C4" s="3" t="s">
        <v>10</v>
      </c>
      <c r="D4" s="4">
        <v>10</v>
      </c>
      <c r="E4" s="1"/>
      <c r="F4" s="5" t="s">
        <v>11</v>
      </c>
      <c r="G4" s="6" t="s">
        <v>12</v>
      </c>
      <c r="H4" s="6">
        <v>3</v>
      </c>
      <c r="I4" s="7">
        <v>6</v>
      </c>
    </row>
    <row r="5" spans="1:9" x14ac:dyDescent="0.3">
      <c r="A5" s="1"/>
      <c r="B5" s="8" t="s">
        <v>12</v>
      </c>
      <c r="C5" s="9" t="s">
        <v>13</v>
      </c>
      <c r="D5" s="10">
        <v>15</v>
      </c>
      <c r="E5" s="1"/>
      <c r="F5" s="2" t="s">
        <v>14</v>
      </c>
      <c r="G5" s="3" t="s">
        <v>12</v>
      </c>
      <c r="H5" s="3">
        <v>3</v>
      </c>
      <c r="I5" s="4">
        <v>6</v>
      </c>
    </row>
    <row r="6" spans="1:9" x14ac:dyDescent="0.3">
      <c r="A6" s="1"/>
      <c r="B6" s="1"/>
      <c r="C6" s="1"/>
      <c r="D6" s="1"/>
      <c r="E6" s="1"/>
      <c r="F6" s="2" t="s">
        <v>15</v>
      </c>
      <c r="G6" s="3" t="s">
        <v>4</v>
      </c>
      <c r="H6" s="3">
        <v>1</v>
      </c>
      <c r="I6" s="4">
        <v>4</v>
      </c>
    </row>
    <row r="7" spans="1:9" x14ac:dyDescent="0.3">
      <c r="A7" s="1"/>
      <c r="B7" s="22" t="s">
        <v>16</v>
      </c>
      <c r="C7" s="23" t="s">
        <v>17</v>
      </c>
      <c r="D7" s="24" t="s">
        <v>2</v>
      </c>
      <c r="E7" s="1"/>
      <c r="F7" s="2" t="s">
        <v>18</v>
      </c>
      <c r="G7" s="3" t="s">
        <v>9</v>
      </c>
      <c r="H7" s="3">
        <v>2</v>
      </c>
      <c r="I7" s="4">
        <v>1</v>
      </c>
    </row>
    <row r="8" spans="1:9" x14ac:dyDescent="0.3">
      <c r="A8" s="1"/>
      <c r="B8" s="2" t="s">
        <v>4</v>
      </c>
      <c r="C8" s="3" t="s">
        <v>19</v>
      </c>
      <c r="D8" s="4">
        <v>1</v>
      </c>
      <c r="E8" s="1"/>
      <c r="F8" s="8" t="s">
        <v>20</v>
      </c>
      <c r="G8" s="9" t="s">
        <v>9</v>
      </c>
      <c r="H8" s="9">
        <v>2</v>
      </c>
      <c r="I8" s="10">
        <v>1</v>
      </c>
    </row>
    <row r="9" spans="1:9" x14ac:dyDescent="0.3">
      <c r="A9" s="1"/>
      <c r="B9" s="2" t="s">
        <v>9</v>
      </c>
      <c r="C9" s="3" t="s">
        <v>21</v>
      </c>
      <c r="D9" s="4">
        <v>2</v>
      </c>
      <c r="E9" s="1"/>
      <c r="F9" s="1"/>
      <c r="G9" s="1"/>
      <c r="H9" s="1"/>
      <c r="I9" s="1"/>
    </row>
    <row r="10" spans="1:9" x14ac:dyDescent="0.3">
      <c r="A10" s="1"/>
      <c r="B10" s="8" t="s">
        <v>12</v>
      </c>
      <c r="C10" s="9" t="s">
        <v>22</v>
      </c>
      <c r="D10" s="10">
        <v>3</v>
      </c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25" t="s">
        <v>23</v>
      </c>
      <c r="G11" s="26"/>
      <c r="H11" s="26"/>
      <c r="I11" s="27"/>
    </row>
    <row r="12" spans="1:9" x14ac:dyDescent="0.3">
      <c r="A12" s="1"/>
      <c r="B12" s="1"/>
      <c r="C12" s="30" t="s">
        <v>24</v>
      </c>
      <c r="D12" s="30">
        <f>SUMPRODUCT(H4:H8,I4:I8)</f>
        <v>44</v>
      </c>
      <c r="E12" s="1"/>
      <c r="F12" s="29" t="s">
        <v>25</v>
      </c>
      <c r="G12" s="29" t="s">
        <v>26</v>
      </c>
      <c r="H12" s="28" t="s">
        <v>27</v>
      </c>
      <c r="I12" s="28" t="s">
        <v>2</v>
      </c>
    </row>
    <row r="13" spans="1:9" x14ac:dyDescent="0.3">
      <c r="A13" s="1"/>
      <c r="B13" s="1"/>
      <c r="C13" s="11" t="s">
        <v>28</v>
      </c>
      <c r="D13" s="11">
        <f>SUM(I13:I24)</f>
        <v>125</v>
      </c>
      <c r="E13" s="1"/>
      <c r="F13" s="12" t="s">
        <v>29</v>
      </c>
      <c r="G13" s="13" t="s">
        <v>30</v>
      </c>
      <c r="H13" s="6" t="s">
        <v>9</v>
      </c>
      <c r="I13" s="7">
        <v>10</v>
      </c>
    </row>
    <row r="14" spans="1:9" x14ac:dyDescent="0.3">
      <c r="A14" s="1"/>
      <c r="B14" s="1"/>
      <c r="C14" s="14" t="s">
        <v>31</v>
      </c>
      <c r="D14" s="14">
        <f>0.6+(0.01*SUMPRODUCT(H28:H40,I28:I40))</f>
        <v>0.97</v>
      </c>
      <c r="E14" s="1"/>
      <c r="F14" s="15" t="s">
        <v>32</v>
      </c>
      <c r="G14" s="16" t="s">
        <v>33</v>
      </c>
      <c r="H14" s="3" t="s">
        <v>9</v>
      </c>
      <c r="I14" s="4">
        <v>10</v>
      </c>
    </row>
    <row r="15" spans="1:9" x14ac:dyDescent="0.3">
      <c r="A15" s="1"/>
      <c r="B15" s="1"/>
      <c r="C15" s="17" t="s">
        <v>34</v>
      </c>
      <c r="D15" s="17">
        <f>1.4+(-0.03*SUMPRODUCT(H45:H52,I45:I52))</f>
        <v>0.91999999999999993</v>
      </c>
      <c r="E15" s="1"/>
      <c r="F15" s="15" t="s">
        <v>35</v>
      </c>
      <c r="G15" s="16" t="s">
        <v>36</v>
      </c>
      <c r="H15" s="3" t="s">
        <v>12</v>
      </c>
      <c r="I15" s="4">
        <v>15</v>
      </c>
    </row>
    <row r="16" spans="1:9" x14ac:dyDescent="0.3">
      <c r="A16" s="1"/>
      <c r="B16" s="1"/>
      <c r="C16" s="1"/>
      <c r="D16" s="1"/>
      <c r="E16" s="1"/>
      <c r="F16" s="15" t="s">
        <v>37</v>
      </c>
      <c r="G16" s="16" t="s">
        <v>38</v>
      </c>
      <c r="H16" s="3" t="s">
        <v>9</v>
      </c>
      <c r="I16" s="4">
        <v>10</v>
      </c>
    </row>
    <row r="17" spans="1:9" x14ac:dyDescent="0.3">
      <c r="A17" s="1"/>
      <c r="B17" s="1"/>
      <c r="C17" s="18" t="s">
        <v>39</v>
      </c>
      <c r="D17" s="18">
        <f>(D12+D13)*D14*D15</f>
        <v>150.81559999999999</v>
      </c>
      <c r="E17" s="1"/>
      <c r="F17" s="15" t="s">
        <v>40</v>
      </c>
      <c r="G17" s="16" t="s">
        <v>41</v>
      </c>
      <c r="H17" s="3" t="s">
        <v>12</v>
      </c>
      <c r="I17" s="4">
        <v>15</v>
      </c>
    </row>
    <row r="18" spans="1:9" x14ac:dyDescent="0.3">
      <c r="A18" s="1"/>
      <c r="B18" s="1"/>
      <c r="C18" s="19" t="s">
        <v>42</v>
      </c>
      <c r="D18" s="19">
        <f>D17*20</f>
        <v>3016.3119999999999</v>
      </c>
      <c r="E18" s="1"/>
      <c r="F18" s="15" t="s">
        <v>43</v>
      </c>
      <c r="G18" s="16" t="s">
        <v>44</v>
      </c>
      <c r="H18" s="3" t="s">
        <v>12</v>
      </c>
      <c r="I18" s="4">
        <v>15</v>
      </c>
    </row>
    <row r="19" spans="1:9" x14ac:dyDescent="0.3">
      <c r="A19" s="1"/>
      <c r="B19" s="1"/>
      <c r="C19" s="1"/>
      <c r="D19" s="1"/>
      <c r="E19" s="1"/>
      <c r="F19" s="15" t="s">
        <v>45</v>
      </c>
      <c r="G19" s="16" t="s">
        <v>46</v>
      </c>
      <c r="H19" s="3" t="s">
        <v>9</v>
      </c>
      <c r="I19" s="4">
        <v>10</v>
      </c>
    </row>
    <row r="20" spans="1:9" x14ac:dyDescent="0.3">
      <c r="A20" s="1"/>
      <c r="B20" s="1"/>
      <c r="C20" s="1"/>
      <c r="D20" s="1"/>
      <c r="E20" s="1"/>
      <c r="F20" s="15" t="s">
        <v>47</v>
      </c>
      <c r="G20" s="16" t="s">
        <v>48</v>
      </c>
      <c r="H20" s="3" t="s">
        <v>9</v>
      </c>
      <c r="I20" s="4">
        <v>10</v>
      </c>
    </row>
    <row r="21" spans="1:9" x14ac:dyDescent="0.3">
      <c r="A21" s="1"/>
      <c r="B21" s="1"/>
      <c r="C21" s="1"/>
      <c r="D21" s="1"/>
      <c r="E21" s="1"/>
      <c r="F21" s="15" t="s">
        <v>49</v>
      </c>
      <c r="G21" s="16" t="s">
        <v>50</v>
      </c>
      <c r="H21" s="3" t="s">
        <v>9</v>
      </c>
      <c r="I21" s="4">
        <v>10</v>
      </c>
    </row>
    <row r="22" spans="1:9" x14ac:dyDescent="0.3">
      <c r="A22" s="1"/>
      <c r="B22" s="1"/>
      <c r="C22" s="1"/>
      <c r="D22" s="1"/>
      <c r="E22" s="1"/>
      <c r="F22" s="15" t="s">
        <v>51</v>
      </c>
      <c r="G22" s="16" t="s">
        <v>52</v>
      </c>
      <c r="H22" s="3" t="s">
        <v>4</v>
      </c>
      <c r="I22" s="4">
        <v>5</v>
      </c>
    </row>
    <row r="23" spans="1:9" x14ac:dyDescent="0.3">
      <c r="A23" s="1"/>
      <c r="B23" s="1"/>
      <c r="C23" s="1"/>
      <c r="D23" s="1"/>
      <c r="E23" s="1"/>
      <c r="F23" s="20" t="s">
        <v>53</v>
      </c>
      <c r="G23" s="21" t="s">
        <v>54</v>
      </c>
      <c r="H23" s="9" t="s">
        <v>9</v>
      </c>
      <c r="I23" s="10">
        <v>10</v>
      </c>
    </row>
    <row r="24" spans="1:9" x14ac:dyDescent="0.3">
      <c r="A24" s="1"/>
      <c r="B24" s="1"/>
      <c r="C24" s="1"/>
      <c r="D24" s="1"/>
      <c r="E24" s="1"/>
      <c r="F24" s="20" t="s">
        <v>55</v>
      </c>
      <c r="G24" s="21" t="s">
        <v>56</v>
      </c>
      <c r="H24" s="9" t="s">
        <v>4</v>
      </c>
      <c r="I24" s="10">
        <v>5</v>
      </c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25" t="s">
        <v>57</v>
      </c>
      <c r="G26" s="26"/>
      <c r="H26" s="26"/>
      <c r="I26" s="27"/>
    </row>
    <row r="27" spans="1:9" x14ac:dyDescent="0.3">
      <c r="A27" s="1"/>
      <c r="B27" s="1"/>
      <c r="C27" s="1"/>
      <c r="D27" s="1"/>
      <c r="E27" s="1"/>
      <c r="F27" s="28" t="s">
        <v>58</v>
      </c>
      <c r="G27" s="28" t="s">
        <v>59</v>
      </c>
      <c r="H27" s="28" t="s">
        <v>2</v>
      </c>
      <c r="I27" s="28" t="s">
        <v>60</v>
      </c>
    </row>
    <row r="28" spans="1:9" x14ac:dyDescent="0.3">
      <c r="A28" s="1"/>
      <c r="B28" s="1"/>
      <c r="C28" s="1"/>
      <c r="D28" s="1"/>
      <c r="E28" s="1"/>
      <c r="F28" s="12" t="s">
        <v>61</v>
      </c>
      <c r="G28" s="6" t="s">
        <v>62</v>
      </c>
      <c r="H28" s="6">
        <v>2</v>
      </c>
      <c r="I28" s="7">
        <v>3</v>
      </c>
    </row>
    <row r="29" spans="1:9" x14ac:dyDescent="0.3">
      <c r="A29" s="1"/>
      <c r="B29" s="1"/>
      <c r="C29" s="1"/>
      <c r="D29" s="1"/>
      <c r="E29" s="1"/>
      <c r="F29" s="15" t="s">
        <v>63</v>
      </c>
      <c r="G29" s="3" t="s">
        <v>64</v>
      </c>
      <c r="H29" s="3">
        <v>2</v>
      </c>
      <c r="I29" s="4">
        <v>2</v>
      </c>
    </row>
    <row r="30" spans="1:9" x14ac:dyDescent="0.3">
      <c r="A30" s="1"/>
      <c r="B30" s="1"/>
      <c r="C30" s="1"/>
      <c r="D30" s="1"/>
      <c r="E30" s="1"/>
      <c r="F30" s="15" t="s">
        <v>65</v>
      </c>
      <c r="G30" s="3" t="s">
        <v>66</v>
      </c>
      <c r="H30" s="3">
        <v>1</v>
      </c>
      <c r="I30" s="4">
        <v>3</v>
      </c>
    </row>
    <row r="31" spans="1:9" x14ac:dyDescent="0.3">
      <c r="A31" s="1"/>
      <c r="B31" s="1"/>
      <c r="C31" s="1"/>
      <c r="D31" s="1"/>
      <c r="E31" s="1"/>
      <c r="F31" s="15" t="s">
        <v>67</v>
      </c>
      <c r="G31" s="3" t="s">
        <v>68</v>
      </c>
      <c r="H31" s="3">
        <v>1</v>
      </c>
      <c r="I31" s="4">
        <v>3</v>
      </c>
    </row>
    <row r="32" spans="1:9" x14ac:dyDescent="0.3">
      <c r="A32" s="1"/>
      <c r="B32" s="1"/>
      <c r="C32" s="1"/>
      <c r="D32" s="1"/>
      <c r="E32" s="1"/>
      <c r="F32" s="15" t="s">
        <v>69</v>
      </c>
      <c r="G32" s="3" t="s">
        <v>70</v>
      </c>
      <c r="H32" s="3">
        <v>1</v>
      </c>
      <c r="I32" s="4">
        <v>2</v>
      </c>
    </row>
    <row r="33" spans="1:9" x14ac:dyDescent="0.3">
      <c r="A33" s="1"/>
      <c r="B33" s="1"/>
      <c r="C33" s="1"/>
      <c r="D33" s="1"/>
      <c r="E33" s="1"/>
      <c r="F33" s="15" t="s">
        <v>71</v>
      </c>
      <c r="G33" s="3" t="s">
        <v>72</v>
      </c>
      <c r="H33" s="3">
        <v>0.5</v>
      </c>
      <c r="I33" s="4">
        <v>2</v>
      </c>
    </row>
    <row r="34" spans="1:9" x14ac:dyDescent="0.3">
      <c r="A34" s="1"/>
      <c r="B34" s="1"/>
      <c r="C34" s="1"/>
      <c r="D34" s="1"/>
      <c r="E34" s="1"/>
      <c r="F34" s="15" t="s">
        <v>73</v>
      </c>
      <c r="G34" s="3" t="s">
        <v>74</v>
      </c>
      <c r="H34" s="3">
        <v>0.5</v>
      </c>
      <c r="I34" s="4">
        <v>4</v>
      </c>
    </row>
    <row r="35" spans="1:9" x14ac:dyDescent="0.3">
      <c r="A35" s="1"/>
      <c r="B35" s="1"/>
      <c r="C35" s="1"/>
      <c r="D35" s="1"/>
      <c r="E35" s="1"/>
      <c r="F35" s="15" t="s">
        <v>75</v>
      </c>
      <c r="G35" s="3" t="s">
        <v>76</v>
      </c>
      <c r="H35" s="3">
        <v>2</v>
      </c>
      <c r="I35" s="4">
        <v>2</v>
      </c>
    </row>
    <row r="36" spans="1:9" x14ac:dyDescent="0.3">
      <c r="A36" s="1"/>
      <c r="B36" s="1"/>
      <c r="C36" s="1"/>
      <c r="D36" s="1"/>
      <c r="E36" s="1"/>
      <c r="F36" s="15" t="s">
        <v>77</v>
      </c>
      <c r="G36" s="3" t="s">
        <v>78</v>
      </c>
      <c r="H36" s="3">
        <v>1</v>
      </c>
      <c r="I36" s="4">
        <v>3</v>
      </c>
    </row>
    <row r="37" spans="1:9" x14ac:dyDescent="0.3">
      <c r="A37" s="1"/>
      <c r="B37" s="1"/>
      <c r="C37" s="1"/>
      <c r="D37" s="1"/>
      <c r="E37" s="1"/>
      <c r="F37" s="15" t="s">
        <v>79</v>
      </c>
      <c r="G37" s="3" t="s">
        <v>80</v>
      </c>
      <c r="H37" s="3">
        <v>1</v>
      </c>
      <c r="I37" s="4">
        <v>3</v>
      </c>
    </row>
    <row r="38" spans="1:9" x14ac:dyDescent="0.3">
      <c r="A38" s="1"/>
      <c r="B38" s="1"/>
      <c r="C38" s="1"/>
      <c r="D38" s="1"/>
      <c r="E38" s="1"/>
      <c r="F38" s="15" t="s">
        <v>81</v>
      </c>
      <c r="G38" s="3" t="s">
        <v>82</v>
      </c>
      <c r="H38" s="3">
        <v>1</v>
      </c>
      <c r="I38" s="4">
        <v>3</v>
      </c>
    </row>
    <row r="39" spans="1:9" x14ac:dyDescent="0.3">
      <c r="A39" s="1"/>
      <c r="B39" s="1"/>
      <c r="C39" s="1"/>
      <c r="D39" s="1"/>
      <c r="E39" s="1"/>
      <c r="F39" s="15" t="s">
        <v>83</v>
      </c>
      <c r="G39" s="3" t="s">
        <v>84</v>
      </c>
      <c r="H39" s="3">
        <v>1</v>
      </c>
      <c r="I39" s="4">
        <v>1</v>
      </c>
    </row>
    <row r="40" spans="1:9" x14ac:dyDescent="0.3">
      <c r="A40" s="1"/>
      <c r="B40" s="1"/>
      <c r="C40" s="1"/>
      <c r="D40" s="1"/>
      <c r="E40" s="1"/>
      <c r="F40" s="20" t="s">
        <v>85</v>
      </c>
      <c r="G40" s="9" t="s">
        <v>86</v>
      </c>
      <c r="H40" s="9">
        <v>1</v>
      </c>
      <c r="I40" s="10">
        <v>2</v>
      </c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25" t="s">
        <v>87</v>
      </c>
      <c r="G43" s="26"/>
      <c r="H43" s="26"/>
      <c r="I43" s="27"/>
    </row>
    <row r="44" spans="1:9" x14ac:dyDescent="0.3">
      <c r="A44" s="1"/>
      <c r="B44" s="1"/>
      <c r="C44" s="1"/>
      <c r="D44" s="1"/>
      <c r="E44" s="1"/>
      <c r="F44" s="28" t="s">
        <v>58</v>
      </c>
      <c r="G44" s="28" t="s">
        <v>59</v>
      </c>
      <c r="H44" s="28" t="s">
        <v>2</v>
      </c>
      <c r="I44" s="28" t="s">
        <v>60</v>
      </c>
    </row>
    <row r="45" spans="1:9" x14ac:dyDescent="0.3">
      <c r="A45" s="1"/>
      <c r="B45" s="1"/>
      <c r="C45" s="1"/>
      <c r="D45" s="1"/>
      <c r="E45" s="1"/>
      <c r="F45" s="12" t="s">
        <v>88</v>
      </c>
      <c r="G45" s="6" t="s">
        <v>89</v>
      </c>
      <c r="H45" s="6">
        <v>1.5</v>
      </c>
      <c r="I45" s="7">
        <v>3</v>
      </c>
    </row>
    <row r="46" spans="1:9" x14ac:dyDescent="0.3">
      <c r="A46" s="1"/>
      <c r="B46" s="1"/>
      <c r="C46" s="1"/>
      <c r="D46" s="1"/>
      <c r="E46" s="1"/>
      <c r="F46" s="15" t="s">
        <v>90</v>
      </c>
      <c r="G46" s="3" t="s">
        <v>91</v>
      </c>
      <c r="H46" s="3">
        <v>0.5</v>
      </c>
      <c r="I46" s="4">
        <v>3</v>
      </c>
    </row>
    <row r="47" spans="1:9" x14ac:dyDescent="0.3">
      <c r="A47" s="1"/>
      <c r="B47" s="1"/>
      <c r="C47" s="1"/>
      <c r="D47" s="1"/>
      <c r="E47" s="1"/>
      <c r="F47" s="15" t="s">
        <v>92</v>
      </c>
      <c r="G47" s="3" t="s">
        <v>93</v>
      </c>
      <c r="H47" s="3">
        <v>1</v>
      </c>
      <c r="I47" s="4">
        <v>2</v>
      </c>
    </row>
    <row r="48" spans="1:9" x14ac:dyDescent="0.3">
      <c r="A48" s="1"/>
      <c r="B48" s="1"/>
      <c r="C48" s="1"/>
      <c r="D48" s="1"/>
      <c r="E48" s="1"/>
      <c r="F48" s="15" t="s">
        <v>94</v>
      </c>
      <c r="G48" s="3" t="s">
        <v>95</v>
      </c>
      <c r="H48" s="3">
        <v>0.5</v>
      </c>
      <c r="I48" s="4">
        <v>2</v>
      </c>
    </row>
    <row r="49" spans="1:9" x14ac:dyDescent="0.3">
      <c r="A49" s="1"/>
      <c r="B49" s="1"/>
      <c r="C49" s="1"/>
      <c r="D49" s="1"/>
      <c r="E49" s="1"/>
      <c r="F49" s="15" t="s">
        <v>96</v>
      </c>
      <c r="G49" s="3" t="s">
        <v>97</v>
      </c>
      <c r="H49" s="3">
        <v>1</v>
      </c>
      <c r="I49" s="4">
        <v>4</v>
      </c>
    </row>
    <row r="50" spans="1:9" x14ac:dyDescent="0.3">
      <c r="A50" s="1"/>
      <c r="B50" s="1"/>
      <c r="C50" s="1"/>
      <c r="D50" s="1"/>
      <c r="E50" s="1"/>
      <c r="F50" s="15" t="s">
        <v>98</v>
      </c>
      <c r="G50" s="3" t="s">
        <v>99</v>
      </c>
      <c r="H50" s="3">
        <v>2</v>
      </c>
      <c r="I50" s="4">
        <v>3</v>
      </c>
    </row>
    <row r="51" spans="1:9" x14ac:dyDescent="0.3">
      <c r="A51" s="1"/>
      <c r="B51" s="1"/>
      <c r="C51" s="1"/>
      <c r="D51" s="1"/>
      <c r="E51" s="1"/>
      <c r="F51" s="15" t="s">
        <v>100</v>
      </c>
      <c r="G51" s="3" t="s">
        <v>101</v>
      </c>
      <c r="H51" s="3">
        <v>-1</v>
      </c>
      <c r="I51" s="4">
        <v>1</v>
      </c>
    </row>
    <row r="52" spans="1:9" x14ac:dyDescent="0.3">
      <c r="A52" s="1"/>
      <c r="B52" s="1"/>
      <c r="C52" s="1"/>
      <c r="D52" s="1"/>
      <c r="E52" s="1"/>
      <c r="F52" s="20" t="s">
        <v>102</v>
      </c>
      <c r="G52" s="9" t="s">
        <v>103</v>
      </c>
      <c r="H52" s="9">
        <v>-1</v>
      </c>
      <c r="I52" s="10">
        <v>2</v>
      </c>
    </row>
  </sheetData>
  <mergeCells count="4">
    <mergeCell ref="F43:I43"/>
    <mergeCell ref="F26:I26"/>
    <mergeCell ref="F2:I2"/>
    <mergeCell ref="F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john</cp:lastModifiedBy>
  <dcterms:created xsi:type="dcterms:W3CDTF">2026-01-10T20:34:35Z</dcterms:created>
  <dcterms:modified xsi:type="dcterms:W3CDTF">2026-01-10T22:27:00Z</dcterms:modified>
</cp:coreProperties>
</file>