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1\"/>
    </mc:Choice>
  </mc:AlternateContent>
  <xr:revisionPtr revIDLastSave="0" documentId="13_ncr:1_{EA959B83-1001-43B1-BAF8-1BB95EA3C3C2}" xr6:coauthVersionLast="47" xr6:coauthVersionMax="47" xr10:uidLastSave="{00000000-0000-0000-0000-000000000000}"/>
  <bookViews>
    <workbookView xWindow="16354" yWindow="-1149" windowWidth="22149" windowHeight="11829" xr2:uid="{00000000-000D-0000-FFFF-FFFF00000000}"/>
  </bookViews>
  <sheets>
    <sheet name="M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0" i="1" l="1"/>
  <c r="O70" i="1"/>
  <c r="N70" i="1"/>
  <c r="J70" i="1"/>
  <c r="I70" i="1"/>
  <c r="H70" i="1"/>
  <c r="D70" i="1"/>
  <c r="V70" i="1" s="1"/>
  <c r="C70" i="1"/>
  <c r="U70" i="1" s="1"/>
  <c r="B70" i="1"/>
  <c r="T70" i="1" s="1"/>
  <c r="W69" i="1"/>
  <c r="U69" i="1"/>
  <c r="O69" i="1"/>
  <c r="I69" i="1"/>
  <c r="C69" i="1"/>
  <c r="B69" i="1"/>
  <c r="W68" i="1"/>
  <c r="V68" i="1"/>
  <c r="B68" i="1"/>
  <c r="W67" i="1"/>
  <c r="Q67" i="1"/>
  <c r="P67" i="1"/>
  <c r="N69" i="1" s="1"/>
  <c r="O67" i="1"/>
  <c r="N68" i="1" s="1"/>
  <c r="K67" i="1"/>
  <c r="J67" i="1"/>
  <c r="H69" i="1" s="1"/>
  <c r="I67" i="1"/>
  <c r="H68" i="1" s="1"/>
  <c r="T68" i="1" s="1"/>
  <c r="E67" i="1"/>
  <c r="D67" i="1"/>
  <c r="C67" i="1"/>
  <c r="O52" i="1"/>
  <c r="N52" i="1"/>
  <c r="J52" i="1"/>
  <c r="I52" i="1"/>
  <c r="H52" i="1"/>
  <c r="D52" i="1"/>
  <c r="C52" i="1"/>
  <c r="U52" i="1" s="1"/>
  <c r="B52" i="1"/>
  <c r="T52" i="1" s="1"/>
  <c r="T51" i="1"/>
  <c r="Q51" i="1"/>
  <c r="P52" i="1" s="1"/>
  <c r="O51" i="1"/>
  <c r="N51" i="1"/>
  <c r="K51" i="1"/>
  <c r="I51" i="1"/>
  <c r="H51" i="1"/>
  <c r="E51" i="1"/>
  <c r="C51" i="1"/>
  <c r="U51" i="1" s="1"/>
  <c r="B51" i="1"/>
  <c r="W50" i="1"/>
  <c r="V50" i="1"/>
  <c r="H50" i="1"/>
  <c r="W49" i="1"/>
  <c r="V49" i="1"/>
  <c r="O49" i="1"/>
  <c r="N50" i="1" s="1"/>
  <c r="C49" i="1"/>
  <c r="B50" i="1" s="1"/>
  <c r="T50" i="1" s="1"/>
  <c r="O34" i="1"/>
  <c r="I34" i="1"/>
  <c r="C34" i="1"/>
  <c r="U34" i="1" s="1"/>
  <c r="U33" i="1"/>
  <c r="Q33" i="1"/>
  <c r="P34" i="1" s="1"/>
  <c r="O33" i="1"/>
  <c r="N33" i="1"/>
  <c r="K33" i="1"/>
  <c r="J34" i="1" s="1"/>
  <c r="I33" i="1"/>
  <c r="E33" i="1"/>
  <c r="D34" i="1" s="1"/>
  <c r="V34" i="1" s="1"/>
  <c r="C33" i="1"/>
  <c r="W32" i="1"/>
  <c r="V32" i="1"/>
  <c r="B32" i="1"/>
  <c r="Q31" i="1"/>
  <c r="N34" i="1" s="1"/>
  <c r="P31" i="1"/>
  <c r="O31" i="1"/>
  <c r="N32" i="1" s="1"/>
  <c r="K31" i="1"/>
  <c r="H34" i="1" s="1"/>
  <c r="J31" i="1"/>
  <c r="V31" i="1" s="1"/>
  <c r="I31" i="1"/>
  <c r="H32" i="1" s="1"/>
  <c r="E31" i="1"/>
  <c r="W31" i="1" s="1"/>
  <c r="D31" i="1"/>
  <c r="B33" i="1" s="1"/>
  <c r="C31" i="1"/>
  <c r="O16" i="1"/>
  <c r="N16" i="1"/>
  <c r="I16" i="1"/>
  <c r="H16" i="1"/>
  <c r="C16" i="1"/>
  <c r="U16" i="1" s="1"/>
  <c r="B16" i="1"/>
  <c r="T16" i="1" s="1"/>
  <c r="AU15" i="1"/>
  <c r="AT15" i="1"/>
  <c r="AO15" i="1"/>
  <c r="Q15" i="1"/>
  <c r="P16" i="1" s="1"/>
  <c r="O15" i="1"/>
  <c r="N15" i="1"/>
  <c r="K15" i="1"/>
  <c r="J16" i="1" s="1"/>
  <c r="I15" i="1"/>
  <c r="H15" i="1"/>
  <c r="E15" i="1"/>
  <c r="W15" i="1" s="1"/>
  <c r="C15" i="1"/>
  <c r="U15" i="1" s="1"/>
  <c r="B15" i="1"/>
  <c r="T15" i="1" s="1"/>
  <c r="AZ14" i="1"/>
  <c r="AW14" i="1"/>
  <c r="AV15" i="1" s="1"/>
  <c r="AU14" i="1"/>
  <c r="AT14" i="1"/>
  <c r="AQ14" i="1"/>
  <c r="AP15" i="1" s="1"/>
  <c r="AO14" i="1"/>
  <c r="AN14" i="1"/>
  <c r="AK14" i="1"/>
  <c r="AJ15" i="1" s="1"/>
  <c r="AI14" i="1"/>
  <c r="BA14" i="1" s="1"/>
  <c r="AH14" i="1"/>
  <c r="W14" i="1"/>
  <c r="V14" i="1"/>
  <c r="N14" i="1"/>
  <c r="H14" i="1"/>
  <c r="B14" i="1"/>
  <c r="T14" i="1" s="1"/>
  <c r="BB13" i="1"/>
  <c r="AW13" i="1"/>
  <c r="AT13" i="1"/>
  <c r="AQ13" i="1"/>
  <c r="AN13" i="1"/>
  <c r="AZ13" i="1" s="1"/>
  <c r="AK13" i="1"/>
  <c r="AI15" i="1" s="1"/>
  <c r="BA15" i="1" s="1"/>
  <c r="AH13" i="1"/>
  <c r="W13" i="1"/>
  <c r="V13" i="1"/>
  <c r="O13" i="1"/>
  <c r="I13" i="1"/>
  <c r="C13" i="1"/>
  <c r="U13" i="1" s="1"/>
  <c r="Y13" i="1" s="1"/>
  <c r="Z13" i="1" s="1"/>
  <c r="BB12" i="1"/>
  <c r="BA12" i="1"/>
  <c r="AW12" i="1"/>
  <c r="AQ12" i="1"/>
  <c r="AN15" i="1" s="1"/>
  <c r="AK12" i="1"/>
  <c r="AH15" i="1" s="1"/>
  <c r="AZ15" i="1" s="1"/>
  <c r="BB15" i="1" l="1"/>
  <c r="BE15" i="1" s="1"/>
  <c r="BF15" i="1" s="1"/>
  <c r="Y50" i="1"/>
  <c r="Z50" i="1" s="1"/>
  <c r="BE13" i="1"/>
  <c r="BF13" i="1" s="1"/>
  <c r="Y70" i="1"/>
  <c r="Z70" i="1" s="1"/>
  <c r="Y14" i="1"/>
  <c r="Z14" i="1" s="1"/>
  <c r="AA13" i="1" s="1"/>
  <c r="Y15" i="1"/>
  <c r="Z15" i="1" s="1"/>
  <c r="Y68" i="1"/>
  <c r="Z68" i="1" s="1"/>
  <c r="Y16" i="1"/>
  <c r="Z16" i="1" s="1"/>
  <c r="AA16" i="1" s="1"/>
  <c r="T69" i="1"/>
  <c r="T32" i="1"/>
  <c r="V52" i="1"/>
  <c r="Y52" i="1" s="1"/>
  <c r="Z52" i="1" s="1"/>
  <c r="AA52" i="1" s="1"/>
  <c r="H33" i="1"/>
  <c r="T33" i="1" s="1"/>
  <c r="BC14" i="1"/>
  <c r="W51" i="1"/>
  <c r="BE14" i="1"/>
  <c r="BF14" i="1" s="1"/>
  <c r="Y51" i="1"/>
  <c r="Z51" i="1" s="1"/>
  <c r="U49" i="1"/>
  <c r="Y49" i="1" s="1"/>
  <c r="Z49" i="1" s="1"/>
  <c r="U67" i="1"/>
  <c r="BC13" i="1"/>
  <c r="V67" i="1"/>
  <c r="W33" i="1"/>
  <c r="U31" i="1"/>
  <c r="Y31" i="1" s="1"/>
  <c r="Z31" i="1" s="1"/>
  <c r="B34" i="1"/>
  <c r="T34" i="1" s="1"/>
  <c r="D16" i="1"/>
  <c r="V16" i="1" s="1"/>
  <c r="BC12" i="1"/>
  <c r="BE12" i="1" s="1"/>
  <c r="BF12" i="1" s="1"/>
  <c r="BG12" i="1" s="1"/>
  <c r="Y33" i="1" l="1"/>
  <c r="Z33" i="1" s="1"/>
  <c r="BG15" i="1"/>
  <c r="AA51" i="1"/>
  <c r="Y32" i="1"/>
  <c r="Z32" i="1" s="1"/>
  <c r="AA15" i="1"/>
  <c r="BG13" i="1"/>
  <c r="BH15" i="1" s="1"/>
  <c r="BI15" i="1" s="1"/>
  <c r="Y34" i="1"/>
  <c r="Z34" i="1" s="1"/>
  <c r="AA34" i="1" s="1"/>
  <c r="AA50" i="1"/>
  <c r="Y67" i="1"/>
  <c r="Z67" i="1" s="1"/>
  <c r="AA67" i="1" s="1"/>
  <c r="BG14" i="1"/>
  <c r="Y69" i="1"/>
  <c r="Z69" i="1" s="1"/>
  <c r="AA69" i="1" s="1"/>
  <c r="AA14" i="1"/>
  <c r="AB13" i="1" s="1"/>
  <c r="AC13" i="1" s="1"/>
  <c r="AA31" i="1"/>
  <c r="AA49" i="1"/>
  <c r="AB49" i="1" l="1"/>
  <c r="AC49" i="1" s="1"/>
  <c r="AB50" i="1"/>
  <c r="AC50" i="1" s="1"/>
  <c r="AB52" i="1"/>
  <c r="AC52" i="1" s="1"/>
  <c r="AB51" i="1"/>
  <c r="AC51" i="1" s="1"/>
  <c r="AA70" i="1"/>
  <c r="C89" i="1" s="1"/>
  <c r="D89" i="1" s="1"/>
  <c r="AA68" i="1"/>
  <c r="AB67" i="1" s="1"/>
  <c r="AC67" i="1" s="1"/>
  <c r="BH12" i="1"/>
  <c r="BI12" i="1" s="1"/>
  <c r="AB69" i="1"/>
  <c r="AC69" i="1" s="1"/>
  <c r="BH14" i="1"/>
  <c r="BI14" i="1" s="1"/>
  <c r="AA32" i="1"/>
  <c r="C87" i="1" s="1"/>
  <c r="BH13" i="1"/>
  <c r="BI13" i="1" s="1"/>
  <c r="C86" i="1"/>
  <c r="AB14" i="1"/>
  <c r="AC14" i="1" s="1"/>
  <c r="Z18" i="1" s="1"/>
  <c r="Z19" i="1" s="1"/>
  <c r="Z20" i="1" s="1"/>
  <c r="AB16" i="1"/>
  <c r="AC16" i="1" s="1"/>
  <c r="AB15" i="1"/>
  <c r="AC15" i="1" s="1"/>
  <c r="AA33" i="1"/>
  <c r="C88" i="1" s="1"/>
  <c r="AB33" i="1"/>
  <c r="AC33" i="1" s="1"/>
  <c r="D87" i="1" l="1"/>
  <c r="D88" i="1"/>
  <c r="AB31" i="1"/>
  <c r="AC31" i="1" s="1"/>
  <c r="D86" i="1"/>
  <c r="B91" i="1" s="1"/>
  <c r="AB32" i="1"/>
  <c r="AC32" i="1" s="1"/>
  <c r="BF17" i="1"/>
  <c r="BF18" i="1" s="1"/>
  <c r="BF19" i="1" s="1"/>
  <c r="Z54" i="1"/>
  <c r="Z55" i="1" s="1"/>
  <c r="Z56" i="1" s="1"/>
  <c r="AB68" i="1"/>
  <c r="AC68" i="1" s="1"/>
  <c r="Z72" i="1" s="1"/>
  <c r="Z73" i="1" s="1"/>
  <c r="Z74" i="1" s="1"/>
  <c r="AB70" i="1"/>
  <c r="AC70" i="1" s="1"/>
  <c r="AB34" i="1"/>
  <c r="AC34" i="1" s="1"/>
  <c r="Z36" i="1" l="1"/>
  <c r="Z37" i="1" s="1"/>
  <c r="Z38" i="1" s="1"/>
</calcChain>
</file>

<file path=xl/sharedStrings.xml><?xml version="1.0" encoding="utf-8"?>
<sst xmlns="http://schemas.openxmlformats.org/spreadsheetml/2006/main" count="266" uniqueCount="43">
  <si>
    <t>Справочник альтернатив</t>
  </si>
  <si>
    <t>Справочник критериев</t>
  </si>
  <si>
    <t>Код</t>
  </si>
  <si>
    <t>Название</t>
  </si>
  <si>
    <t>A</t>
  </si>
  <si>
    <t>Зеркало (RPi+GUI+сервер)</t>
  </si>
  <si>
    <t>C1</t>
  </si>
  <si>
    <t>Время до MVP (меньше лучше)</t>
  </si>
  <si>
    <t>B</t>
  </si>
  <si>
    <t>Торты (магазин + 3D-конструктор)</t>
  </si>
  <si>
    <t>C2</t>
  </si>
  <si>
    <t>Ценность (больше лучше)</t>
  </si>
  <si>
    <t>C</t>
  </si>
  <si>
    <t>Тикеты/заявки</t>
  </si>
  <si>
    <t>C3</t>
  </si>
  <si>
    <t>Риск/неопределённость (меньше лучше)</t>
  </si>
  <si>
    <t>D</t>
  </si>
  <si>
    <t>Планировщик питания</t>
  </si>
  <si>
    <t>C4</t>
  </si>
  <si>
    <t>Проработанность требований/сценариев (больше лучше)</t>
  </si>
  <si>
    <t>Сравнение критериев (C1..C4) — 3 эксперта → GeoMean → веса + CR</t>
  </si>
  <si>
    <t>C4 Проработанность требований/сценариев — сравнения альтернатив (A..D)</t>
  </si>
  <si>
    <t>Эксперт A</t>
  </si>
  <si>
    <t>Эксперт B</t>
  </si>
  <si>
    <t>Эксперт C</t>
  </si>
  <si>
    <t>GeoMean (агрег.)</t>
  </si>
  <si>
    <t>Вес критериев + CR</t>
  </si>
  <si>
    <t>Вес альтернатив (локальный) + CR</t>
  </si>
  <si>
    <t>Prod</t>
  </si>
  <si>
    <t>Root</t>
  </si>
  <si>
    <t>w</t>
  </si>
  <si>
    <t>Aw</t>
  </si>
  <si>
    <t>λi</t>
  </si>
  <si>
    <t>λmax</t>
  </si>
  <si>
    <t>CI</t>
  </si>
  <si>
    <t>CR (RI=0.90)</t>
  </si>
  <si>
    <t>C1 Время до MVP — сравнения альтернатив (A..D)</t>
  </si>
  <si>
    <t>C2 Ценность — сравнения альтернатив (A..D)</t>
  </si>
  <si>
    <t>C3 Риск/неопределённость — сравнения альтернатив (A..D)</t>
  </si>
  <si>
    <t>Итог: глобальные приоритеты альтернатив (сумма w_crit * w_local)</t>
  </si>
  <si>
    <t>Глобальный вес</t>
  </si>
  <si>
    <t>Ранг</t>
  </si>
  <si>
    <t>Победитель: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</si>
</sst>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1"/>
  <sheetViews>
    <sheetView tabSelected="1" workbookViewId="0">
      <selection activeCell="B91" sqref="B91"/>
    </sheetView>
  </sheetViews>
  <sheetFormatPr defaultRowHeight="14.4" x14ac:dyDescent="0.3"/>
  <cols>
    <col min="1" max="40" width="13" customWidth="1"/>
  </cols>
  <sheetData>
    <row r="1" spans="1:62" ht="28.05" customHeight="1" x14ac:dyDescent="0.3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3" spans="1:62" x14ac:dyDescent="0.3">
      <c r="A3" s="13" t="s">
        <v>0</v>
      </c>
      <c r="B3" s="10"/>
      <c r="C3" s="10"/>
      <c r="E3" s="16" t="s">
        <v>1</v>
      </c>
      <c r="F3" s="10"/>
      <c r="G3" s="10"/>
    </row>
    <row r="4" spans="1:62" x14ac:dyDescent="0.3">
      <c r="A4" s="1" t="s">
        <v>2</v>
      </c>
      <c r="B4" s="8" t="s">
        <v>3</v>
      </c>
      <c r="C4" s="8"/>
      <c r="E4" s="1" t="s">
        <v>2</v>
      </c>
      <c r="F4" s="8" t="s">
        <v>3</v>
      </c>
      <c r="G4" s="8"/>
    </row>
    <row r="5" spans="1:62" x14ac:dyDescent="0.3">
      <c r="A5" s="2" t="s">
        <v>4</v>
      </c>
      <c r="B5" s="11" t="s">
        <v>5</v>
      </c>
      <c r="C5" s="11"/>
      <c r="E5" s="2" t="s">
        <v>6</v>
      </c>
      <c r="F5" s="11" t="s">
        <v>7</v>
      </c>
      <c r="G5" s="11"/>
    </row>
    <row r="6" spans="1:62" x14ac:dyDescent="0.3">
      <c r="A6" s="2" t="s">
        <v>8</v>
      </c>
      <c r="B6" s="11" t="s">
        <v>9</v>
      </c>
      <c r="C6" s="11"/>
      <c r="E6" s="2" t="s">
        <v>10</v>
      </c>
      <c r="F6" s="11" t="s">
        <v>11</v>
      </c>
      <c r="G6" s="11"/>
    </row>
    <row r="7" spans="1:62" x14ac:dyDescent="0.3">
      <c r="A7" s="2" t="s">
        <v>12</v>
      </c>
      <c r="B7" s="11" t="s">
        <v>13</v>
      </c>
      <c r="C7" s="11"/>
      <c r="E7" s="2" t="s">
        <v>14</v>
      </c>
      <c r="F7" s="11" t="s">
        <v>15</v>
      </c>
      <c r="G7" s="11"/>
    </row>
    <row r="8" spans="1:62" x14ac:dyDescent="0.3">
      <c r="A8" s="2" t="s">
        <v>16</v>
      </c>
      <c r="B8" s="11" t="s">
        <v>17</v>
      </c>
      <c r="C8" s="11"/>
      <c r="E8" s="2" t="s">
        <v>18</v>
      </c>
      <c r="F8" s="11" t="s">
        <v>19</v>
      </c>
      <c r="G8" s="11"/>
      <c r="AG8" s="14" t="s">
        <v>20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10" spans="1:62" ht="19.95" customHeight="1" x14ac:dyDescent="0.3">
      <c r="A10" s="14" t="s">
        <v>21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G10" s="12" t="s">
        <v>22</v>
      </c>
      <c r="AH10" s="10"/>
      <c r="AI10" s="10"/>
      <c r="AJ10" s="10"/>
      <c r="AK10" s="10"/>
      <c r="AM10" s="12" t="s">
        <v>23</v>
      </c>
      <c r="AN10" s="10"/>
      <c r="AO10" s="10"/>
      <c r="AP10" s="10"/>
      <c r="AQ10" s="10"/>
      <c r="AS10" s="12" t="s">
        <v>24</v>
      </c>
      <c r="AT10" s="10"/>
      <c r="AU10" s="10"/>
      <c r="AV10" s="10"/>
      <c r="AW10" s="10"/>
      <c r="AY10" s="12" t="s">
        <v>25</v>
      </c>
      <c r="AZ10" s="10"/>
      <c r="BA10" s="10"/>
      <c r="BB10" s="10"/>
      <c r="BC10" s="10"/>
      <c r="BE10" s="9" t="s">
        <v>26</v>
      </c>
      <c r="BF10" s="10"/>
      <c r="BG10" s="10"/>
      <c r="BH10" s="10"/>
      <c r="BI10" s="10"/>
      <c r="BJ10" s="10"/>
    </row>
    <row r="11" spans="1:62" ht="19.95" customHeight="1" x14ac:dyDescent="0.3">
      <c r="A11" s="12" t="s">
        <v>22</v>
      </c>
      <c r="B11" s="10"/>
      <c r="C11" s="10"/>
      <c r="D11" s="10"/>
      <c r="E11" s="10"/>
      <c r="G11" s="12" t="s">
        <v>23</v>
      </c>
      <c r="H11" s="10"/>
      <c r="I11" s="10"/>
      <c r="J11" s="10"/>
      <c r="K11" s="10"/>
      <c r="M11" s="12" t="s">
        <v>24</v>
      </c>
      <c r="N11" s="10"/>
      <c r="O11" s="10"/>
      <c r="P11" s="10"/>
      <c r="Q11" s="10"/>
      <c r="S11" s="12" t="s">
        <v>25</v>
      </c>
      <c r="T11" s="10"/>
      <c r="U11" s="10"/>
      <c r="V11" s="10"/>
      <c r="W11" s="10"/>
      <c r="Y11" s="9" t="s">
        <v>27</v>
      </c>
      <c r="Z11" s="10"/>
      <c r="AA11" s="10"/>
      <c r="AB11" s="10"/>
      <c r="AC11" s="10"/>
      <c r="AD11" s="10"/>
      <c r="AG11" s="4"/>
      <c r="AH11" s="1" t="s">
        <v>6</v>
      </c>
      <c r="AI11" s="1" t="s">
        <v>10</v>
      </c>
      <c r="AJ11" s="1" t="s">
        <v>14</v>
      </c>
      <c r="AK11" s="1" t="s">
        <v>18</v>
      </c>
      <c r="AM11" s="4"/>
      <c r="AN11" s="1" t="s">
        <v>6</v>
      </c>
      <c r="AO11" s="1" t="s">
        <v>10</v>
      </c>
      <c r="AP11" s="1" t="s">
        <v>14</v>
      </c>
      <c r="AQ11" s="1" t="s">
        <v>18</v>
      </c>
      <c r="AS11" s="4"/>
      <c r="AT11" s="1" t="s">
        <v>6</v>
      </c>
      <c r="AU11" s="1" t="s">
        <v>10</v>
      </c>
      <c r="AV11" s="1" t="s">
        <v>14</v>
      </c>
      <c r="AW11" s="1" t="s">
        <v>18</v>
      </c>
      <c r="AY11" s="4"/>
      <c r="AZ11" s="1" t="s">
        <v>6</v>
      </c>
      <c r="BA11" s="1" t="s">
        <v>10</v>
      </c>
      <c r="BB11" s="1" t="s">
        <v>14</v>
      </c>
      <c r="BC11" s="1" t="s">
        <v>18</v>
      </c>
      <c r="BE11" s="1" t="s">
        <v>28</v>
      </c>
      <c r="BF11" s="1" t="s">
        <v>29</v>
      </c>
      <c r="BG11" s="1" t="s">
        <v>30</v>
      </c>
      <c r="BH11" s="1" t="s">
        <v>31</v>
      </c>
      <c r="BI11" s="1" t="s">
        <v>32</v>
      </c>
    </row>
    <row r="12" spans="1:62" x14ac:dyDescent="0.3">
      <c r="A12" s="4"/>
      <c r="B12" s="1" t="s">
        <v>4</v>
      </c>
      <c r="C12" s="1" t="s">
        <v>8</v>
      </c>
      <c r="D12" s="1" t="s">
        <v>12</v>
      </c>
      <c r="E12" s="1" t="s">
        <v>16</v>
      </c>
      <c r="G12" s="4"/>
      <c r="H12" s="1" t="s">
        <v>4</v>
      </c>
      <c r="I12" s="1" t="s">
        <v>8</v>
      </c>
      <c r="J12" s="1" t="s">
        <v>12</v>
      </c>
      <c r="K12" s="1" t="s">
        <v>16</v>
      </c>
      <c r="M12" s="4"/>
      <c r="N12" s="1" t="s">
        <v>4</v>
      </c>
      <c r="O12" s="1" t="s">
        <v>8</v>
      </c>
      <c r="P12" s="1" t="s">
        <v>12</v>
      </c>
      <c r="Q12" s="1" t="s">
        <v>16</v>
      </c>
      <c r="S12" s="4"/>
      <c r="T12" s="1" t="s">
        <v>4</v>
      </c>
      <c r="U12" s="1" t="s">
        <v>8</v>
      </c>
      <c r="V12" s="1" t="s">
        <v>12</v>
      </c>
      <c r="W12" s="1" t="s">
        <v>16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G12" s="1" t="s">
        <v>6</v>
      </c>
      <c r="AH12" s="5">
        <v>1</v>
      </c>
      <c r="AI12" s="5">
        <v>1</v>
      </c>
      <c r="AJ12" s="5">
        <v>3</v>
      </c>
      <c r="AK12" s="5">
        <f>1/3</f>
        <v>0.33333333333333331</v>
      </c>
      <c r="AM12" s="1" t="s">
        <v>6</v>
      </c>
      <c r="AN12" s="5">
        <v>1</v>
      </c>
      <c r="AO12" s="5">
        <v>1</v>
      </c>
      <c r="AP12" s="5">
        <v>3</v>
      </c>
      <c r="AQ12" s="5">
        <f>1/3</f>
        <v>0.33333333333333331</v>
      </c>
      <c r="AS12" s="1" t="s">
        <v>6</v>
      </c>
      <c r="AT12" s="5">
        <v>1</v>
      </c>
      <c r="AU12" s="5">
        <v>1</v>
      </c>
      <c r="AV12" s="5">
        <v>2</v>
      </c>
      <c r="AW12" s="5">
        <f>1/3</f>
        <v>0.33333333333333331</v>
      </c>
      <c r="AY12" s="1" t="s">
        <v>6</v>
      </c>
      <c r="AZ12" s="5">
        <v>1</v>
      </c>
      <c r="BA12" s="5">
        <f>POWER(AI12*AO12*AU12,1/3)</f>
        <v>1</v>
      </c>
      <c r="BB12" s="5">
        <f>POWER(AJ12*AP12*AV12,1/3)</f>
        <v>2.6207413942088964</v>
      </c>
      <c r="BC12" s="5">
        <f>POWER(AK12*AQ12*AW12,1/3)</f>
        <v>0.33333333333333337</v>
      </c>
      <c r="BE12" s="6">
        <f>PRODUCT(AZ12:BC12)</f>
        <v>0.87358046473629891</v>
      </c>
      <c r="BF12" s="6">
        <f>POWER(BE12,1/4)</f>
        <v>0.96677570572706628</v>
      </c>
      <c r="BG12" s="6">
        <f>BF12/SUM(BF12:BF15)</f>
        <v>0.19952211024937938</v>
      </c>
      <c r="BH12" s="6">
        <f>AZ12*BG12+BA12*BG13+BB12*BG14+BC12*BG15</f>
        <v>0.80260305122956233</v>
      </c>
      <c r="BI12" s="6">
        <f>BH12/BG12</f>
        <v>4.0226271174979153</v>
      </c>
    </row>
    <row r="13" spans="1:62" x14ac:dyDescent="0.3">
      <c r="A13" s="1" t="s">
        <v>4</v>
      </c>
      <c r="B13" s="5">
        <v>1</v>
      </c>
      <c r="C13" s="5">
        <f>1/3</f>
        <v>0.33333333333333331</v>
      </c>
      <c r="D13" s="5">
        <v>3</v>
      </c>
      <c r="E13" s="5">
        <v>3</v>
      </c>
      <c r="G13" s="1" t="s">
        <v>4</v>
      </c>
      <c r="H13" s="5">
        <v>1</v>
      </c>
      <c r="I13" s="5">
        <f>1/5</f>
        <v>0.2</v>
      </c>
      <c r="J13" s="5">
        <v>3</v>
      </c>
      <c r="K13" s="5">
        <v>5</v>
      </c>
      <c r="M13" s="1" t="s">
        <v>4</v>
      </c>
      <c r="N13" s="5">
        <v>1</v>
      </c>
      <c r="O13" s="5">
        <f>1/3</f>
        <v>0.33333333333333331</v>
      </c>
      <c r="P13" s="5">
        <v>5</v>
      </c>
      <c r="Q13" s="5">
        <v>3</v>
      </c>
      <c r="S13" s="1" t="s">
        <v>4</v>
      </c>
      <c r="T13" s="5">
        <v>1</v>
      </c>
      <c r="U13" s="5">
        <f>POWER(C13*I13*O13,1/3)</f>
        <v>0.28114422176724974</v>
      </c>
      <c r="V13" s="5">
        <f>POWER(D13*J13*P13,1/3)</f>
        <v>3.5568933044900626</v>
      </c>
      <c r="W13" s="5">
        <f>POWER(E13*K13*Q13,1/3)</f>
        <v>3.5568933044900626</v>
      </c>
      <c r="Y13" s="6">
        <f>PRODUCT(T13:W13)</f>
        <v>3.5568933044900621</v>
      </c>
      <c r="Z13" s="6">
        <f>POWER(Y13,1/4)</f>
        <v>1.3733072394983357</v>
      </c>
      <c r="AA13" s="6">
        <f>Z13/SUM(Z13:Z16)</f>
        <v>0.23287460738782803</v>
      </c>
      <c r="AB13" s="6">
        <f>T13*AA13+U13*AA14+V13*AA15+W13*AA16</f>
        <v>0.95744807716057911</v>
      </c>
      <c r="AC13" s="6">
        <f>AB13/AA13</f>
        <v>4.1114318469512243</v>
      </c>
      <c r="AG13" s="1" t="s">
        <v>10</v>
      </c>
      <c r="AH13" s="5">
        <f>1/AI12</f>
        <v>1</v>
      </c>
      <c r="AI13" s="5">
        <v>1</v>
      </c>
      <c r="AJ13" s="5">
        <v>3</v>
      </c>
      <c r="AK13" s="5">
        <f>1/3</f>
        <v>0.33333333333333331</v>
      </c>
      <c r="AM13" s="1" t="s">
        <v>10</v>
      </c>
      <c r="AN13" s="5">
        <f>1/AO12</f>
        <v>1</v>
      </c>
      <c r="AO13" s="5">
        <v>1</v>
      </c>
      <c r="AP13" s="5">
        <v>3</v>
      </c>
      <c r="AQ13" s="5">
        <f>1/2</f>
        <v>0.5</v>
      </c>
      <c r="AS13" s="1" t="s">
        <v>10</v>
      </c>
      <c r="AT13" s="5">
        <f>1/AU12</f>
        <v>1</v>
      </c>
      <c r="AU13" s="5">
        <v>1</v>
      </c>
      <c r="AV13" s="5">
        <v>2</v>
      </c>
      <c r="AW13" s="5">
        <f>1/3</f>
        <v>0.33333333333333331</v>
      </c>
      <c r="AY13" s="1" t="s">
        <v>10</v>
      </c>
      <c r="AZ13" s="5">
        <f>POWER(AH13*AN13*AT13,1/3)</f>
        <v>1</v>
      </c>
      <c r="BA13" s="5">
        <v>1</v>
      </c>
      <c r="BB13" s="5">
        <f>POWER(AJ13*AP13*AV13,1/3)</f>
        <v>2.6207413942088964</v>
      </c>
      <c r="BC13" s="5">
        <f>POWER(AK13*AQ13*AW13,1/3)</f>
        <v>0.38157141418444396</v>
      </c>
      <c r="BE13" s="6">
        <f>PRODUCT(AZ13:BC13)</f>
        <v>0.99999999999999989</v>
      </c>
      <c r="BF13" s="6">
        <f>POWER(BE13,1/4)</f>
        <v>1</v>
      </c>
      <c r="BG13" s="6">
        <f>BF13/SUM(BF12:BF15)</f>
        <v>0.20637890367686498</v>
      </c>
      <c r="BH13" s="6">
        <f>AZ13*BG12+BA13*BG13+BB13*BG14+BC13*BG15</f>
        <v>0.827071607464963</v>
      </c>
      <c r="BI13" s="6">
        <f>BH13/BG13</f>
        <v>4.0075394952186558</v>
      </c>
    </row>
    <row r="14" spans="1:62" x14ac:dyDescent="0.3">
      <c r="A14" s="1" t="s">
        <v>8</v>
      </c>
      <c r="B14" s="5">
        <f>1/C13</f>
        <v>3</v>
      </c>
      <c r="C14" s="5">
        <v>1</v>
      </c>
      <c r="D14" s="5">
        <v>7</v>
      </c>
      <c r="E14" s="5">
        <v>5</v>
      </c>
      <c r="G14" s="1" t="s">
        <v>8</v>
      </c>
      <c r="H14" s="5">
        <f>1/I13</f>
        <v>5</v>
      </c>
      <c r="I14" s="5">
        <v>1</v>
      </c>
      <c r="J14" s="5">
        <v>9</v>
      </c>
      <c r="K14" s="5">
        <v>7</v>
      </c>
      <c r="M14" s="1" t="s">
        <v>8</v>
      </c>
      <c r="N14" s="5">
        <f>1/O13</f>
        <v>3</v>
      </c>
      <c r="O14" s="5">
        <v>1</v>
      </c>
      <c r="P14" s="5">
        <v>7</v>
      </c>
      <c r="Q14" s="5">
        <v>7</v>
      </c>
      <c r="S14" s="1" t="s">
        <v>8</v>
      </c>
      <c r="T14" s="5">
        <f>POWER(B14*H14*N14,1/3)</f>
        <v>3.5568933044900626</v>
      </c>
      <c r="U14" s="5">
        <v>1</v>
      </c>
      <c r="V14" s="5">
        <f>POWER(D14*J14*P14,1/3)</f>
        <v>7.611662611020245</v>
      </c>
      <c r="W14" s="5">
        <f>POWER(E14*K14*Q14,1/3)</f>
        <v>6.2573247456759749</v>
      </c>
      <c r="Y14" s="6">
        <f>PRODUCT(T14:W14)</f>
        <v>169.41000783257712</v>
      </c>
      <c r="Z14" s="6">
        <f>POWER(Y14,1/4)</f>
        <v>3.6077361293563257</v>
      </c>
      <c r="AA14" s="6">
        <f>Z14/SUM(Z13:Z16)</f>
        <v>0.61177143068847484</v>
      </c>
      <c r="AB14" s="6">
        <f>T14*AA13+U14*AA14+V14*AA15+W14*AA16</f>
        <v>2.4968433302439834</v>
      </c>
      <c r="AC14" s="6">
        <f>AB14/AA14</f>
        <v>4.0813336566470388</v>
      </c>
      <c r="AG14" s="1" t="s">
        <v>14</v>
      </c>
      <c r="AH14" s="5">
        <f>1/AJ12</f>
        <v>0.33333333333333331</v>
      </c>
      <c r="AI14" s="5">
        <f>1/AJ13</f>
        <v>0.33333333333333331</v>
      </c>
      <c r="AJ14" s="5">
        <v>1</v>
      </c>
      <c r="AK14" s="5">
        <f>1/5</f>
        <v>0.2</v>
      </c>
      <c r="AM14" s="1" t="s">
        <v>14</v>
      </c>
      <c r="AN14" s="5">
        <f>1/AP12</f>
        <v>0.33333333333333331</v>
      </c>
      <c r="AO14" s="5">
        <f>1/AP13</f>
        <v>0.33333333333333331</v>
      </c>
      <c r="AP14" s="5">
        <v>1</v>
      </c>
      <c r="AQ14" s="5">
        <f>1/5</f>
        <v>0.2</v>
      </c>
      <c r="AS14" s="1" t="s">
        <v>14</v>
      </c>
      <c r="AT14" s="5">
        <f>1/AV12</f>
        <v>0.5</v>
      </c>
      <c r="AU14" s="5">
        <f>1/AV13</f>
        <v>0.5</v>
      </c>
      <c r="AV14" s="5">
        <v>1</v>
      </c>
      <c r="AW14" s="5">
        <f>1/4</f>
        <v>0.25</v>
      </c>
      <c r="AY14" s="1" t="s">
        <v>14</v>
      </c>
      <c r="AZ14" s="5">
        <f>POWER(AH14*AN14*AT14,1/3)</f>
        <v>0.38157141418444396</v>
      </c>
      <c r="BA14" s="5">
        <f>POWER(AI14*AO14*AU14,1/3)</f>
        <v>0.38157141418444396</v>
      </c>
      <c r="BB14" s="5">
        <v>1</v>
      </c>
      <c r="BC14" s="5">
        <f>POWER(AK14*AQ14*AW14,1/3)</f>
        <v>0.21544346900318845</v>
      </c>
      <c r="BE14" s="6">
        <f>PRODUCT(AZ14:BC14)</f>
        <v>3.1367867629367628E-2</v>
      </c>
      <c r="BF14" s="6">
        <f>POWER(BE14,1/4)</f>
        <v>0.42084410597088706</v>
      </c>
      <c r="BG14" s="6">
        <f>BF14/SUM(BF12:BF15)</f>
        <v>8.6853345209142063E-2</v>
      </c>
      <c r="BH14" s="6">
        <f>AZ14*BG12+BA14*BG13+BB14*BG14+BC14*BG15</f>
        <v>0.35101632961649665</v>
      </c>
      <c r="BI14" s="6">
        <f>BH14/BG14</f>
        <v>4.0414831319536688</v>
      </c>
    </row>
    <row r="15" spans="1:62" x14ac:dyDescent="0.3">
      <c r="A15" s="1" t="s">
        <v>12</v>
      </c>
      <c r="B15" s="5">
        <f>1/D13</f>
        <v>0.33333333333333331</v>
      </c>
      <c r="C15" s="5">
        <f>1/D14</f>
        <v>0.14285714285714285</v>
      </c>
      <c r="D15" s="5">
        <v>1</v>
      </c>
      <c r="E15" s="5">
        <f>1/2</f>
        <v>0.5</v>
      </c>
      <c r="G15" s="1" t="s">
        <v>12</v>
      </c>
      <c r="H15" s="5">
        <f>1/J13</f>
        <v>0.33333333333333331</v>
      </c>
      <c r="I15" s="5">
        <f>1/J14</f>
        <v>0.1111111111111111</v>
      </c>
      <c r="J15" s="5">
        <v>1</v>
      </c>
      <c r="K15" s="5">
        <f>1/2</f>
        <v>0.5</v>
      </c>
      <c r="M15" s="1" t="s">
        <v>12</v>
      </c>
      <c r="N15" s="5">
        <f>1/P13</f>
        <v>0.2</v>
      </c>
      <c r="O15" s="5">
        <f>1/P14</f>
        <v>0.14285714285714285</v>
      </c>
      <c r="P15" s="5">
        <v>1</v>
      </c>
      <c r="Q15" s="5">
        <f>1/2</f>
        <v>0.5</v>
      </c>
      <c r="S15" s="1" t="s">
        <v>12</v>
      </c>
      <c r="T15" s="5">
        <f>POWER(B15*H15*N15,1/3)</f>
        <v>0.28114422176724979</v>
      </c>
      <c r="U15" s="5">
        <f>POWER(C15*I15*O15,1/3)</f>
        <v>0.13137734173243432</v>
      </c>
      <c r="V15" s="5">
        <v>1</v>
      </c>
      <c r="W15" s="5">
        <f>POWER(E15*K15*Q15,1/3)</f>
        <v>0.50000000000000011</v>
      </c>
      <c r="Y15" s="6">
        <f>PRODUCT(T15:W15)</f>
        <v>1.846799024960764E-2</v>
      </c>
      <c r="Z15" s="6">
        <f>POWER(Y15,1/4)</f>
        <v>0.36864208110398061</v>
      </c>
      <c r="AA15" s="6">
        <f>Z15/SUM(Z13:Z16)</f>
        <v>6.2511415824969427E-2</v>
      </c>
      <c r="AB15" s="6">
        <f>T15*AA13+U15*AA14+V15*AA15+W15*AA16</f>
        <v>0.25477694344943813</v>
      </c>
      <c r="AC15" s="6">
        <f>AB15/AA15</f>
        <v>4.0756866579827262</v>
      </c>
      <c r="AG15" s="1" t="s">
        <v>18</v>
      </c>
      <c r="AH15" s="5">
        <f>1/AK12</f>
        <v>3</v>
      </c>
      <c r="AI15" s="5">
        <f>1/AK13</f>
        <v>3</v>
      </c>
      <c r="AJ15" s="5">
        <f>1/AK14</f>
        <v>5</v>
      </c>
      <c r="AK15" s="5">
        <v>1</v>
      </c>
      <c r="AM15" s="1" t="s">
        <v>18</v>
      </c>
      <c r="AN15" s="5">
        <f>1/AQ12</f>
        <v>3</v>
      </c>
      <c r="AO15" s="5">
        <f>1/AQ13</f>
        <v>2</v>
      </c>
      <c r="AP15" s="5">
        <f>1/AQ14</f>
        <v>5</v>
      </c>
      <c r="AQ15" s="5">
        <v>1</v>
      </c>
      <c r="AS15" s="1" t="s">
        <v>18</v>
      </c>
      <c r="AT15" s="5">
        <f>1/AW12</f>
        <v>3</v>
      </c>
      <c r="AU15" s="5">
        <f>1/AW13</f>
        <v>3</v>
      </c>
      <c r="AV15" s="5">
        <f>1/AW14</f>
        <v>4</v>
      </c>
      <c r="AW15" s="5">
        <v>1</v>
      </c>
      <c r="AY15" s="1" t="s">
        <v>18</v>
      </c>
      <c r="AZ15" s="5">
        <f>POWER(AH15*AN15*AT15,1/3)</f>
        <v>2.9999999999999996</v>
      </c>
      <c r="BA15" s="5">
        <f>POWER(AI15*AO15*AU15,1/3)</f>
        <v>2.6207413942088964</v>
      </c>
      <c r="BB15" s="5">
        <f>POWER(AJ15*AP15*AV15,1/3)</f>
        <v>4.6415888336127793</v>
      </c>
      <c r="BC15" s="5">
        <v>1</v>
      </c>
      <c r="BE15" s="6">
        <f>PRODUCT(AZ15:BC15)</f>
        <v>36.493211973440395</v>
      </c>
      <c r="BF15" s="6">
        <f>POWER(BE15,1/4)</f>
        <v>2.4578366869262309</v>
      </c>
      <c r="BG15" s="6">
        <f>BF15/SUM(BF12:BF15)</f>
        <v>0.50724564086461355</v>
      </c>
      <c r="BH15" s="6">
        <f>AZ15*BG12+BA15*BG13+BB15*BG14+BC15*BG15</f>
        <v>2.0498152246548322</v>
      </c>
      <c r="BI15" s="6">
        <f>BH15/BG15</f>
        <v>4.0410701630887713</v>
      </c>
    </row>
    <row r="16" spans="1:62" x14ac:dyDescent="0.3">
      <c r="A16" s="1" t="s">
        <v>16</v>
      </c>
      <c r="B16" s="5">
        <f>1/E13</f>
        <v>0.33333333333333331</v>
      </c>
      <c r="C16" s="5">
        <f>1/E14</f>
        <v>0.2</v>
      </c>
      <c r="D16" s="5">
        <f>1/E15</f>
        <v>2</v>
      </c>
      <c r="E16" s="5">
        <v>1</v>
      </c>
      <c r="G16" s="1" t="s">
        <v>16</v>
      </c>
      <c r="H16" s="5">
        <f>1/K13</f>
        <v>0.2</v>
      </c>
      <c r="I16" s="5">
        <f>1/K14</f>
        <v>0.14285714285714285</v>
      </c>
      <c r="J16" s="5">
        <f>1/K15</f>
        <v>2</v>
      </c>
      <c r="K16" s="5">
        <v>1</v>
      </c>
      <c r="M16" s="1" t="s">
        <v>16</v>
      </c>
      <c r="N16" s="5">
        <f>1/Q13</f>
        <v>0.33333333333333331</v>
      </c>
      <c r="O16" s="5">
        <f>1/Q14</f>
        <v>0.14285714285714285</v>
      </c>
      <c r="P16" s="5">
        <f>1/Q15</f>
        <v>2</v>
      </c>
      <c r="Q16" s="5">
        <v>1</v>
      </c>
      <c r="S16" s="1" t="s">
        <v>16</v>
      </c>
      <c r="T16" s="5">
        <f>POWER(B16*H16*N16,1/3)</f>
        <v>0.28114422176724974</v>
      </c>
      <c r="U16" s="5">
        <f>POWER(C16*I16*O16,1/3)</f>
        <v>0.15981270601162809</v>
      </c>
      <c r="V16" s="5">
        <f>POWER(D16*J16*P16,1/3)</f>
        <v>1.9999999999999998</v>
      </c>
      <c r="W16" s="5">
        <v>1</v>
      </c>
      <c r="Y16" s="6">
        <f>PRODUCT(T16:W16)</f>
        <v>8.986083772031489E-2</v>
      </c>
      <c r="Z16" s="6">
        <f>POWER(Y16,1/4)</f>
        <v>0.54751070595902662</v>
      </c>
      <c r="AA16" s="6">
        <f>Z16/SUM(Z13:Z16)</f>
        <v>9.2842546098727829E-2</v>
      </c>
      <c r="AB16" s="6">
        <f>T16*AA13+U16*AA14+V16*AA15+W16*AA16</f>
        <v>0.38110557581100174</v>
      </c>
      <c r="AC16" s="6">
        <f>AB16/AA16</f>
        <v>4.1048591602145192</v>
      </c>
    </row>
    <row r="17" spans="1:58" x14ac:dyDescent="0.3">
      <c r="BE17" s="1" t="s">
        <v>33</v>
      </c>
      <c r="BF17" s="2">
        <f>AVERAGE(BI12:BI15)</f>
        <v>4.0281799769397528</v>
      </c>
    </row>
    <row r="18" spans="1:58" x14ac:dyDescent="0.3">
      <c r="Y18" s="1" t="s">
        <v>33</v>
      </c>
      <c r="Z18" s="2">
        <f>AVERAGE(AC13:AC16)</f>
        <v>4.0933278304488772</v>
      </c>
      <c r="BE18" s="1" t="s">
        <v>34</v>
      </c>
      <c r="BF18" s="2">
        <f>(BF17-4)/(4-1)</f>
        <v>9.3933256465842749E-3</v>
      </c>
    </row>
    <row r="19" spans="1:58" ht="28.8" x14ac:dyDescent="0.3">
      <c r="Y19" s="1" t="s">
        <v>34</v>
      </c>
      <c r="Z19" s="2">
        <f>(Z18-4)/(4-1)</f>
        <v>3.1109276816292386E-2</v>
      </c>
      <c r="BE19" s="1" t="s">
        <v>35</v>
      </c>
      <c r="BF19" s="2">
        <f>BF18/0.9</f>
        <v>1.043702849620475E-2</v>
      </c>
    </row>
    <row r="20" spans="1:58" x14ac:dyDescent="0.3">
      <c r="Y20" s="1" t="s">
        <v>35</v>
      </c>
      <c r="Z20" s="2">
        <f>Z19/0.9</f>
        <v>3.456586312921376E-2</v>
      </c>
    </row>
    <row r="28" spans="1:58" x14ac:dyDescent="0.3">
      <c r="A28" s="14" t="s">
        <v>36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58" ht="19.95" customHeight="1" x14ac:dyDescent="0.3">
      <c r="A29" s="12" t="s">
        <v>22</v>
      </c>
      <c r="B29" s="10"/>
      <c r="C29" s="10"/>
      <c r="D29" s="10"/>
      <c r="E29" s="10"/>
      <c r="G29" s="12" t="s">
        <v>23</v>
      </c>
      <c r="H29" s="10"/>
      <c r="I29" s="10"/>
      <c r="J29" s="10"/>
      <c r="K29" s="10"/>
      <c r="M29" s="12" t="s">
        <v>24</v>
      </c>
      <c r="N29" s="10"/>
      <c r="O29" s="10"/>
      <c r="P29" s="10"/>
      <c r="Q29" s="10"/>
      <c r="S29" s="12" t="s">
        <v>25</v>
      </c>
      <c r="T29" s="10"/>
      <c r="U29" s="10"/>
      <c r="V29" s="10"/>
      <c r="W29" s="10"/>
      <c r="Y29" s="9" t="s">
        <v>27</v>
      </c>
      <c r="Z29" s="10"/>
      <c r="AA29" s="10"/>
      <c r="AB29" s="10"/>
      <c r="AC29" s="10"/>
      <c r="AD29" s="10"/>
    </row>
    <row r="30" spans="1:58" x14ac:dyDescent="0.3">
      <c r="A30" s="4"/>
      <c r="B30" s="1" t="s">
        <v>4</v>
      </c>
      <c r="C30" s="1" t="s">
        <v>8</v>
      </c>
      <c r="D30" s="1" t="s">
        <v>12</v>
      </c>
      <c r="E30" s="1" t="s">
        <v>16</v>
      </c>
      <c r="G30" s="4"/>
      <c r="H30" s="1" t="s">
        <v>4</v>
      </c>
      <c r="I30" s="1" t="s">
        <v>8</v>
      </c>
      <c r="J30" s="1" t="s">
        <v>12</v>
      </c>
      <c r="K30" s="1" t="s">
        <v>16</v>
      </c>
      <c r="M30" s="4"/>
      <c r="N30" s="1" t="s">
        <v>4</v>
      </c>
      <c r="O30" s="1" t="s">
        <v>8</v>
      </c>
      <c r="P30" s="1" t="s">
        <v>12</v>
      </c>
      <c r="Q30" s="1" t="s">
        <v>16</v>
      </c>
      <c r="S30" s="4"/>
      <c r="T30" s="1" t="s">
        <v>4</v>
      </c>
      <c r="U30" s="1" t="s">
        <v>8</v>
      </c>
      <c r="V30" s="1" t="s">
        <v>12</v>
      </c>
      <c r="W30" s="1" t="s">
        <v>16</v>
      </c>
      <c r="Y30" s="1" t="s">
        <v>28</v>
      </c>
      <c r="Z30" s="1" t="s">
        <v>29</v>
      </c>
      <c r="AA30" s="1" t="s">
        <v>30</v>
      </c>
      <c r="AB30" s="1" t="s">
        <v>31</v>
      </c>
      <c r="AC30" s="1" t="s">
        <v>32</v>
      </c>
    </row>
    <row r="31" spans="1:58" x14ac:dyDescent="0.3">
      <c r="A31" s="1" t="s">
        <v>4</v>
      </c>
      <c r="B31" s="5">
        <v>1</v>
      </c>
      <c r="C31" s="5">
        <f>1/5</f>
        <v>0.2</v>
      </c>
      <c r="D31" s="5">
        <f>1/3</f>
        <v>0.33333333333333331</v>
      </c>
      <c r="E31" s="5">
        <f>1/3</f>
        <v>0.33333333333333331</v>
      </c>
      <c r="G31" s="1" t="s">
        <v>4</v>
      </c>
      <c r="H31" s="5">
        <v>1</v>
      </c>
      <c r="I31" s="5">
        <f>1/7</f>
        <v>0.14285714285714285</v>
      </c>
      <c r="J31" s="5">
        <f>1/3</f>
        <v>0.33333333333333331</v>
      </c>
      <c r="K31" s="5">
        <f>1/2</f>
        <v>0.5</v>
      </c>
      <c r="M31" s="1" t="s">
        <v>4</v>
      </c>
      <c r="N31" s="5">
        <v>1</v>
      </c>
      <c r="O31" s="5">
        <f>1/5</f>
        <v>0.2</v>
      </c>
      <c r="P31" s="5">
        <f>1/2</f>
        <v>0.5</v>
      </c>
      <c r="Q31" s="5">
        <f>1/2</f>
        <v>0.5</v>
      </c>
      <c r="S31" s="1" t="s">
        <v>4</v>
      </c>
      <c r="T31" s="5">
        <v>1</v>
      </c>
      <c r="U31" s="5">
        <f>POWER(C31*I31*O31,1/3)</f>
        <v>0.17878070701931351</v>
      </c>
      <c r="V31" s="5">
        <f>POWER(D31*J31*P31,1/3)</f>
        <v>0.38157141418444396</v>
      </c>
      <c r="W31" s="5">
        <f>POWER(E31*K31*Q31,1/3)</f>
        <v>0.4367902323681494</v>
      </c>
      <c r="Y31" s="6">
        <f>PRODUCT(T31:W31)</f>
        <v>2.9796784503218918E-2</v>
      </c>
      <c r="Z31" s="6">
        <f>POWER(Y31,1/4)</f>
        <v>0.41547256386999626</v>
      </c>
      <c r="AA31" s="6">
        <f>Z31/SUM(Z31:Z34)</f>
        <v>7.5251102929886071E-2</v>
      </c>
      <c r="AB31" s="6">
        <f>T31*AA31+U31*AA32+V31*AA33+W31*AA34</f>
        <v>0.31383410240235637</v>
      </c>
      <c r="AC31" s="6">
        <f>AB31/AA31</f>
        <v>4.1704917294669546</v>
      </c>
    </row>
    <row r="32" spans="1:58" x14ac:dyDescent="0.3">
      <c r="A32" s="1" t="s">
        <v>8</v>
      </c>
      <c r="B32" s="5">
        <f>1/C31</f>
        <v>5</v>
      </c>
      <c r="C32" s="5">
        <v>1</v>
      </c>
      <c r="D32" s="5">
        <v>5</v>
      </c>
      <c r="E32" s="5">
        <v>5</v>
      </c>
      <c r="G32" s="1" t="s">
        <v>8</v>
      </c>
      <c r="H32" s="5">
        <f>1/I31</f>
        <v>7</v>
      </c>
      <c r="I32" s="5">
        <v>1</v>
      </c>
      <c r="J32" s="5">
        <v>7</v>
      </c>
      <c r="K32" s="5">
        <v>5</v>
      </c>
      <c r="M32" s="1" t="s">
        <v>8</v>
      </c>
      <c r="N32" s="5">
        <f>1/O31</f>
        <v>5</v>
      </c>
      <c r="O32" s="5">
        <v>1</v>
      </c>
      <c r="P32" s="5">
        <v>5</v>
      </c>
      <c r="Q32" s="5">
        <v>3</v>
      </c>
      <c r="S32" s="1" t="s">
        <v>8</v>
      </c>
      <c r="T32" s="5">
        <f>POWER(B32*H32*N32,1/3)</f>
        <v>5.5934447104069847</v>
      </c>
      <c r="U32" s="5">
        <v>1</v>
      </c>
      <c r="V32" s="5">
        <f>POWER(D32*J32*P32,1/3)</f>
        <v>5.5934447104069847</v>
      </c>
      <c r="W32" s="5">
        <f>POWER(E32*K32*Q32,1/3)</f>
        <v>4.2171633265087456</v>
      </c>
      <c r="Y32" s="6">
        <f>PRODUCT(T32:W32)</f>
        <v>131.94080219760193</v>
      </c>
      <c r="Z32" s="6">
        <f>POWER(Y32,1/4)</f>
        <v>3.3891811327368613</v>
      </c>
      <c r="AA32" s="6">
        <f>Z32/SUM(Z31:Z34)</f>
        <v>0.61385429615856124</v>
      </c>
      <c r="AB32" s="6">
        <f>T32*AA31+U32*AA32+V32*AA33+W32*AA34</f>
        <v>2.5192833957963892</v>
      </c>
      <c r="AC32" s="6">
        <f>AB32/AA32</f>
        <v>4.1040413198405759</v>
      </c>
    </row>
    <row r="33" spans="1:30" x14ac:dyDescent="0.3">
      <c r="A33" s="1" t="s">
        <v>12</v>
      </c>
      <c r="B33" s="5">
        <f>1/D31</f>
        <v>3</v>
      </c>
      <c r="C33" s="5">
        <f>1/D32</f>
        <v>0.2</v>
      </c>
      <c r="D33" s="5">
        <v>1</v>
      </c>
      <c r="E33" s="5">
        <f>1/2</f>
        <v>0.5</v>
      </c>
      <c r="G33" s="1" t="s">
        <v>12</v>
      </c>
      <c r="H33" s="5">
        <f>1/J31</f>
        <v>3</v>
      </c>
      <c r="I33" s="5">
        <f>1/J32</f>
        <v>0.14285714285714285</v>
      </c>
      <c r="J33" s="5">
        <v>1</v>
      </c>
      <c r="K33" s="5">
        <f>1/2</f>
        <v>0.5</v>
      </c>
      <c r="M33" s="1" t="s">
        <v>12</v>
      </c>
      <c r="N33" s="5">
        <f>1/P31</f>
        <v>2</v>
      </c>
      <c r="O33" s="5">
        <f>1/P32</f>
        <v>0.2</v>
      </c>
      <c r="P33" s="5">
        <v>1</v>
      </c>
      <c r="Q33" s="5">
        <f>1/2</f>
        <v>0.5</v>
      </c>
      <c r="S33" s="1" t="s">
        <v>12</v>
      </c>
      <c r="T33" s="5">
        <f>POWER(B33*H33*N33,1/3)</f>
        <v>2.6207413942088964</v>
      </c>
      <c r="U33" s="5">
        <f>POWER(C33*I33*O33,1/3)</f>
        <v>0.17878070701931351</v>
      </c>
      <c r="V33" s="5">
        <v>1</v>
      </c>
      <c r="W33" s="5">
        <f>POWER(E33*K33*Q33,1/3)</f>
        <v>0.50000000000000011</v>
      </c>
      <c r="Y33" s="6">
        <f>PRODUCT(T33:W33)</f>
        <v>0.23426899968572401</v>
      </c>
      <c r="Z33" s="6">
        <f>POWER(Y33,1/4)</f>
        <v>0.69571073675852846</v>
      </c>
      <c r="AA33" s="6">
        <f>Z33/SUM(Z31:Z34)</f>
        <v>0.12600832115986474</v>
      </c>
      <c r="AB33" s="6">
        <f>T33*AA31+U33*AA32+V33*AA33+W33*AA34</f>
        <v>0.52541044651800628</v>
      </c>
      <c r="AC33" s="6">
        <f>AB33/AA33</f>
        <v>4.1696488111402301</v>
      </c>
    </row>
    <row r="34" spans="1:30" x14ac:dyDescent="0.3">
      <c r="A34" s="1" t="s">
        <v>16</v>
      </c>
      <c r="B34" s="5">
        <f>1/E31</f>
        <v>3</v>
      </c>
      <c r="C34" s="5">
        <f>1/E32</f>
        <v>0.2</v>
      </c>
      <c r="D34" s="5">
        <f>1/E33</f>
        <v>2</v>
      </c>
      <c r="E34" s="5">
        <v>1</v>
      </c>
      <c r="G34" s="1" t="s">
        <v>16</v>
      </c>
      <c r="H34" s="5">
        <f>1/K31</f>
        <v>2</v>
      </c>
      <c r="I34" s="5">
        <f>1/K32</f>
        <v>0.2</v>
      </c>
      <c r="J34" s="5">
        <f>1/K33</f>
        <v>2</v>
      </c>
      <c r="K34" s="5">
        <v>1</v>
      </c>
      <c r="M34" s="1" t="s">
        <v>16</v>
      </c>
      <c r="N34" s="5">
        <f>1/Q31</f>
        <v>2</v>
      </c>
      <c r="O34" s="5">
        <f>1/Q32</f>
        <v>0.33333333333333331</v>
      </c>
      <c r="P34" s="5">
        <f>1/Q33</f>
        <v>2</v>
      </c>
      <c r="Q34" s="5">
        <v>1</v>
      </c>
      <c r="S34" s="1" t="s">
        <v>16</v>
      </c>
      <c r="T34" s="5">
        <f>POWER(B34*H34*N34,1/3)</f>
        <v>2.2894284851066637</v>
      </c>
      <c r="U34" s="5">
        <f>POWER(C34*I34*O34,1/3)</f>
        <v>0.23712622029933755</v>
      </c>
      <c r="V34" s="5">
        <f>POWER(D34*J34*P34,1/3)</f>
        <v>1.9999999999999998</v>
      </c>
      <c r="W34" s="5">
        <v>1</v>
      </c>
      <c r="Y34" s="6">
        <f>PRODUCT(T34:W34)</f>
        <v>1.0857670466379625</v>
      </c>
      <c r="Z34" s="6">
        <f>POWER(Y34,1/4)</f>
        <v>1.0207847284895002</v>
      </c>
      <c r="AA34" s="6">
        <f>Z34/SUM(Z31:Z34)</f>
        <v>0.184886279751688</v>
      </c>
      <c r="AB34" s="6">
        <f>T34*AA31+U34*AA32+V34*AA33+W34*AA34</f>
        <v>0.75474588971738188</v>
      </c>
      <c r="AC34" s="6">
        <f>AB34/AA34</f>
        <v>4.0822168672063999</v>
      </c>
    </row>
    <row r="36" spans="1:30" x14ac:dyDescent="0.3">
      <c r="Y36" s="1" t="s">
        <v>33</v>
      </c>
      <c r="Z36" s="2">
        <f>AVERAGE(AC31:AC34)</f>
        <v>4.1315996819135403</v>
      </c>
    </row>
    <row r="37" spans="1:30" x14ac:dyDescent="0.3">
      <c r="Y37" s="1" t="s">
        <v>34</v>
      </c>
      <c r="Z37" s="2">
        <f>(Z36-4)/(4-1)</f>
        <v>4.3866560637846774E-2</v>
      </c>
    </row>
    <row r="38" spans="1:30" x14ac:dyDescent="0.3">
      <c r="Y38" s="1" t="s">
        <v>35</v>
      </c>
      <c r="Z38" s="2">
        <f>Z37/0.9</f>
        <v>4.8740622930940856E-2</v>
      </c>
    </row>
    <row r="46" spans="1:30" x14ac:dyDescent="0.3">
      <c r="A46" s="14" t="s">
        <v>37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9.95" customHeight="1" x14ac:dyDescent="0.3">
      <c r="A47" s="12" t="s">
        <v>22</v>
      </c>
      <c r="B47" s="10"/>
      <c r="C47" s="10"/>
      <c r="D47" s="10"/>
      <c r="E47" s="10"/>
      <c r="G47" s="12" t="s">
        <v>23</v>
      </c>
      <c r="H47" s="10"/>
      <c r="I47" s="10"/>
      <c r="J47" s="10"/>
      <c r="K47" s="10"/>
      <c r="M47" s="12" t="s">
        <v>24</v>
      </c>
      <c r="N47" s="10"/>
      <c r="O47" s="10"/>
      <c r="P47" s="10"/>
      <c r="Q47" s="10"/>
      <c r="S47" s="12" t="s">
        <v>25</v>
      </c>
      <c r="T47" s="10"/>
      <c r="U47" s="10"/>
      <c r="V47" s="10"/>
      <c r="W47" s="10"/>
      <c r="Y47" s="9" t="s">
        <v>27</v>
      </c>
      <c r="Z47" s="10"/>
      <c r="AA47" s="10"/>
      <c r="AB47" s="10"/>
      <c r="AC47" s="10"/>
      <c r="AD47" s="10"/>
    </row>
    <row r="48" spans="1:30" x14ac:dyDescent="0.3">
      <c r="A48" s="4"/>
      <c r="B48" s="1" t="s">
        <v>4</v>
      </c>
      <c r="C48" s="1" t="s">
        <v>8</v>
      </c>
      <c r="D48" s="1" t="s">
        <v>12</v>
      </c>
      <c r="E48" s="1" t="s">
        <v>16</v>
      </c>
      <c r="G48" s="4"/>
      <c r="H48" s="1" t="s">
        <v>4</v>
      </c>
      <c r="I48" s="1" t="s">
        <v>8</v>
      </c>
      <c r="J48" s="1" t="s">
        <v>12</v>
      </c>
      <c r="K48" s="1" t="s">
        <v>16</v>
      </c>
      <c r="M48" s="4"/>
      <c r="N48" s="1" t="s">
        <v>4</v>
      </c>
      <c r="O48" s="1" t="s">
        <v>8</v>
      </c>
      <c r="P48" s="1" t="s">
        <v>12</v>
      </c>
      <c r="Q48" s="1" t="s">
        <v>16</v>
      </c>
      <c r="S48" s="4"/>
      <c r="T48" s="1" t="s">
        <v>4</v>
      </c>
      <c r="U48" s="1" t="s">
        <v>8</v>
      </c>
      <c r="V48" s="1" t="s">
        <v>12</v>
      </c>
      <c r="W48" s="1" t="s">
        <v>16</v>
      </c>
      <c r="Y48" s="1" t="s">
        <v>28</v>
      </c>
      <c r="Z48" s="1" t="s">
        <v>29</v>
      </c>
      <c r="AA48" s="1" t="s">
        <v>30</v>
      </c>
      <c r="AB48" s="1" t="s">
        <v>31</v>
      </c>
      <c r="AC48" s="1" t="s">
        <v>32</v>
      </c>
    </row>
    <row r="49" spans="1:30" x14ac:dyDescent="0.3">
      <c r="A49" s="1" t="s">
        <v>4</v>
      </c>
      <c r="B49" s="5">
        <v>1</v>
      </c>
      <c r="C49" s="5">
        <f>1/2</f>
        <v>0.5</v>
      </c>
      <c r="D49" s="5">
        <v>3</v>
      </c>
      <c r="E49" s="5">
        <v>3</v>
      </c>
      <c r="G49" s="1" t="s">
        <v>4</v>
      </c>
      <c r="H49" s="5">
        <v>1</v>
      </c>
      <c r="I49" s="5">
        <v>1</v>
      </c>
      <c r="J49" s="5">
        <v>3</v>
      </c>
      <c r="K49" s="5">
        <v>5</v>
      </c>
      <c r="M49" s="1" t="s">
        <v>4</v>
      </c>
      <c r="N49" s="5">
        <v>1</v>
      </c>
      <c r="O49" s="5">
        <f>1/3</f>
        <v>0.33333333333333331</v>
      </c>
      <c r="P49" s="5">
        <v>5</v>
      </c>
      <c r="Q49" s="5">
        <v>3</v>
      </c>
      <c r="S49" s="1" t="s">
        <v>4</v>
      </c>
      <c r="T49" s="5">
        <v>1</v>
      </c>
      <c r="U49" s="5">
        <f>POWER(C49*I49*O49,1/3)</f>
        <v>0.55032120814910446</v>
      </c>
      <c r="V49" s="5">
        <f>POWER(D49*J49*P49,1/3)</f>
        <v>3.5568933044900626</v>
      </c>
      <c r="W49" s="5">
        <f>POWER(E49*K49*Q49,1/3)</f>
        <v>3.5568933044900626</v>
      </c>
      <c r="Y49" s="6">
        <f>PRODUCT(T49:W49)</f>
        <v>6.9623832504191672</v>
      </c>
      <c r="Z49" s="6">
        <f>POWER(Y49,1/4)</f>
        <v>1.624386911226718</v>
      </c>
      <c r="AA49" s="6">
        <f>Z49/SUM(Z49:Z52)</f>
        <v>0.31372992984497972</v>
      </c>
      <c r="AB49" s="6">
        <f>T49*AA49+U49*AA50+V49*AA51+W49*AA52</f>
        <v>1.2689240698730933</v>
      </c>
      <c r="AC49" s="6">
        <f>AB49/AA49</f>
        <v>4.0446382355043209</v>
      </c>
    </row>
    <row r="50" spans="1:30" x14ac:dyDescent="0.3">
      <c r="A50" s="1" t="s">
        <v>8</v>
      </c>
      <c r="B50" s="5">
        <f>1/C49</f>
        <v>2</v>
      </c>
      <c r="C50" s="5">
        <v>1</v>
      </c>
      <c r="D50" s="5">
        <v>5</v>
      </c>
      <c r="E50" s="5">
        <v>5</v>
      </c>
      <c r="G50" s="1" t="s">
        <v>8</v>
      </c>
      <c r="H50" s="5">
        <f>1/I49</f>
        <v>1</v>
      </c>
      <c r="I50" s="5">
        <v>1</v>
      </c>
      <c r="J50" s="5">
        <v>3</v>
      </c>
      <c r="K50" s="5">
        <v>5</v>
      </c>
      <c r="M50" s="1" t="s">
        <v>8</v>
      </c>
      <c r="N50" s="5">
        <f>1/O49</f>
        <v>3</v>
      </c>
      <c r="O50" s="5">
        <v>1</v>
      </c>
      <c r="P50" s="5">
        <v>7</v>
      </c>
      <c r="Q50" s="5">
        <v>5</v>
      </c>
      <c r="S50" s="1" t="s">
        <v>8</v>
      </c>
      <c r="T50" s="5">
        <f>POWER(B50*H50*N50,1/3)</f>
        <v>1.8171205928321397</v>
      </c>
      <c r="U50" s="5">
        <v>1</v>
      </c>
      <c r="V50" s="5">
        <f>POWER(D50*J50*P50,1/3)</f>
        <v>4.7176939803165325</v>
      </c>
      <c r="W50" s="5">
        <f>POWER(E50*K50*Q50,1/3)</f>
        <v>5.0000000000000009</v>
      </c>
      <c r="Y50" s="6">
        <f>PRODUCT(T50:W50)</f>
        <v>42.863094411566976</v>
      </c>
      <c r="Z50" s="6">
        <f>POWER(Y50,1/4)</f>
        <v>2.5587089027041219</v>
      </c>
      <c r="AA50" s="6">
        <f>Z50/SUM(Z49:Z52)</f>
        <v>0.49418248755332966</v>
      </c>
      <c r="AB50" s="6">
        <f>T50*AA49+U50*AA50+V50*AA51+W50*AA52</f>
        <v>2.0020523479418859</v>
      </c>
      <c r="AC50" s="6">
        <f>AB50/AA50</f>
        <v>4.0512409856001517</v>
      </c>
    </row>
    <row r="51" spans="1:30" x14ac:dyDescent="0.3">
      <c r="A51" s="1" t="s">
        <v>12</v>
      </c>
      <c r="B51" s="5">
        <f>1/D49</f>
        <v>0.33333333333333331</v>
      </c>
      <c r="C51" s="5">
        <f>1/D50</f>
        <v>0.2</v>
      </c>
      <c r="D51" s="5">
        <v>1</v>
      </c>
      <c r="E51" s="5">
        <f>1/2</f>
        <v>0.5</v>
      </c>
      <c r="G51" s="1" t="s">
        <v>12</v>
      </c>
      <c r="H51" s="5">
        <f>1/J49</f>
        <v>0.33333333333333331</v>
      </c>
      <c r="I51" s="5">
        <f>1/J50</f>
        <v>0.33333333333333331</v>
      </c>
      <c r="J51" s="5">
        <v>1</v>
      </c>
      <c r="K51" s="5">
        <f>1/2</f>
        <v>0.5</v>
      </c>
      <c r="M51" s="1" t="s">
        <v>12</v>
      </c>
      <c r="N51" s="5">
        <f>1/P49</f>
        <v>0.2</v>
      </c>
      <c r="O51" s="5">
        <f>1/P50</f>
        <v>0.14285714285714285</v>
      </c>
      <c r="P51" s="5">
        <v>1</v>
      </c>
      <c r="Q51" s="5">
        <f>1/2</f>
        <v>0.5</v>
      </c>
      <c r="S51" s="1" t="s">
        <v>12</v>
      </c>
      <c r="T51" s="5">
        <f>POWER(B51*H51*N51,1/3)</f>
        <v>0.28114422176724979</v>
      </c>
      <c r="U51" s="5">
        <f>POWER(C51*I51*O51,1/3)</f>
        <v>0.21196796658966532</v>
      </c>
      <c r="V51" s="5">
        <v>1</v>
      </c>
      <c r="W51" s="5">
        <f>POWER(E51*K51*Q51,1/3)</f>
        <v>0.50000000000000011</v>
      </c>
      <c r="Y51" s="6">
        <f>PRODUCT(T51:W51)</f>
        <v>2.9796784503218939E-2</v>
      </c>
      <c r="Z51" s="6">
        <f>POWER(Y51,1/4)</f>
        <v>0.41547256386999631</v>
      </c>
      <c r="AA51" s="6">
        <f>Z51/SUM(Z49:Z52)</f>
        <v>8.0243307437765476E-2</v>
      </c>
      <c r="AB51" s="6">
        <f>T51*AA49+U51*AA50+V51*AA51+W51*AA52</f>
        <v>0.32911965900199069</v>
      </c>
      <c r="AC51" s="6">
        <f>AB51/AA51</f>
        <v>4.1015216036209239</v>
      </c>
    </row>
    <row r="52" spans="1:30" x14ac:dyDescent="0.3">
      <c r="A52" s="1" t="s">
        <v>16</v>
      </c>
      <c r="B52" s="5">
        <f>1/E49</f>
        <v>0.33333333333333331</v>
      </c>
      <c r="C52" s="5">
        <f>1/E50</f>
        <v>0.2</v>
      </c>
      <c r="D52" s="5">
        <f>1/E51</f>
        <v>2</v>
      </c>
      <c r="E52" s="5">
        <v>1</v>
      </c>
      <c r="G52" s="1" t="s">
        <v>16</v>
      </c>
      <c r="H52" s="5">
        <f>1/K49</f>
        <v>0.2</v>
      </c>
      <c r="I52" s="5">
        <f>1/K50</f>
        <v>0.2</v>
      </c>
      <c r="J52" s="5">
        <f>1/K51</f>
        <v>2</v>
      </c>
      <c r="K52" s="5">
        <v>1</v>
      </c>
      <c r="M52" s="1" t="s">
        <v>16</v>
      </c>
      <c r="N52" s="5">
        <f>1/Q49</f>
        <v>0.33333333333333331</v>
      </c>
      <c r="O52" s="5">
        <f>1/Q50</f>
        <v>0.2</v>
      </c>
      <c r="P52" s="5">
        <f>1/Q51</f>
        <v>2</v>
      </c>
      <c r="Q52" s="5">
        <v>1</v>
      </c>
      <c r="S52" s="1" t="s">
        <v>16</v>
      </c>
      <c r="T52" s="5">
        <f>POWER(B52*H52*N52,1/3)</f>
        <v>0.28114422176724974</v>
      </c>
      <c r="U52" s="5">
        <f>POWER(C52*I52*O52,1/3)</f>
        <v>0.20000000000000007</v>
      </c>
      <c r="V52" s="5">
        <f>POWER(D52*J52*P52,1/3)</f>
        <v>1.9999999999999998</v>
      </c>
      <c r="W52" s="5">
        <v>1</v>
      </c>
      <c r="Y52" s="6">
        <f>PRODUCT(T52:W52)</f>
        <v>0.11245768870689991</v>
      </c>
      <c r="Z52" s="6">
        <f>POWER(Y52,1/4)</f>
        <v>0.57909163069551739</v>
      </c>
      <c r="AA52" s="6">
        <f>Z52/SUM(Z49:Z52)</f>
        <v>0.11184427516392519</v>
      </c>
      <c r="AB52" s="6">
        <f>T52*AA49+U52*AA50+V52*AA51+W52*AA52</f>
        <v>0.4593707445214828</v>
      </c>
      <c r="AC52" s="6">
        <f>AB52/AA52</f>
        <v>4.1072352058091797</v>
      </c>
    </row>
    <row r="54" spans="1:30" x14ac:dyDescent="0.3">
      <c r="Y54" s="1" t="s">
        <v>33</v>
      </c>
      <c r="Z54" s="2">
        <f>AVERAGE(AC49:AC52)</f>
        <v>4.0761590076336436</v>
      </c>
    </row>
    <row r="55" spans="1:30" x14ac:dyDescent="0.3">
      <c r="Y55" s="1" t="s">
        <v>34</v>
      </c>
      <c r="Z55" s="2">
        <f>(Z54-4)/(4-1)</f>
        <v>2.5386335877881194E-2</v>
      </c>
    </row>
    <row r="56" spans="1:30" x14ac:dyDescent="0.3">
      <c r="Y56" s="1" t="s">
        <v>35</v>
      </c>
      <c r="Z56" s="2">
        <f>Z55/0.9</f>
        <v>2.8207039864312437E-2</v>
      </c>
    </row>
    <row r="64" spans="1:30" x14ac:dyDescent="0.3">
      <c r="A64" s="14" t="s">
        <v>38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9.95" customHeight="1" x14ac:dyDescent="0.3">
      <c r="A65" s="12" t="s">
        <v>22</v>
      </c>
      <c r="B65" s="10"/>
      <c r="C65" s="10"/>
      <c r="D65" s="10"/>
      <c r="E65" s="10"/>
      <c r="G65" s="12" t="s">
        <v>23</v>
      </c>
      <c r="H65" s="10"/>
      <c r="I65" s="10"/>
      <c r="J65" s="10"/>
      <c r="K65" s="10"/>
      <c r="M65" s="12" t="s">
        <v>24</v>
      </c>
      <c r="N65" s="10"/>
      <c r="O65" s="10"/>
      <c r="P65" s="10"/>
      <c r="Q65" s="10"/>
      <c r="S65" s="12" t="s">
        <v>25</v>
      </c>
      <c r="T65" s="10"/>
      <c r="U65" s="10"/>
      <c r="V65" s="10"/>
      <c r="W65" s="10"/>
      <c r="Y65" s="9" t="s">
        <v>27</v>
      </c>
      <c r="Z65" s="10"/>
      <c r="AA65" s="10"/>
      <c r="AB65" s="10"/>
      <c r="AC65" s="10"/>
      <c r="AD65" s="10"/>
    </row>
    <row r="66" spans="1:30" x14ac:dyDescent="0.3">
      <c r="A66" s="4"/>
      <c r="B66" s="1" t="s">
        <v>4</v>
      </c>
      <c r="C66" s="1" t="s">
        <v>8</v>
      </c>
      <c r="D66" s="1" t="s">
        <v>12</v>
      </c>
      <c r="E66" s="1" t="s">
        <v>16</v>
      </c>
      <c r="G66" s="4"/>
      <c r="H66" s="1" t="s">
        <v>4</v>
      </c>
      <c r="I66" s="1" t="s">
        <v>8</v>
      </c>
      <c r="J66" s="1" t="s">
        <v>12</v>
      </c>
      <c r="K66" s="1" t="s">
        <v>16</v>
      </c>
      <c r="M66" s="4"/>
      <c r="N66" s="1" t="s">
        <v>4</v>
      </c>
      <c r="O66" s="1" t="s">
        <v>8</v>
      </c>
      <c r="P66" s="1" t="s">
        <v>12</v>
      </c>
      <c r="Q66" s="1" t="s">
        <v>16</v>
      </c>
      <c r="S66" s="4"/>
      <c r="T66" s="1" t="s">
        <v>4</v>
      </c>
      <c r="U66" s="1" t="s">
        <v>8</v>
      </c>
      <c r="V66" s="1" t="s">
        <v>12</v>
      </c>
      <c r="W66" s="1" t="s">
        <v>16</v>
      </c>
      <c r="Y66" s="1" t="s">
        <v>28</v>
      </c>
      <c r="Z66" s="1" t="s">
        <v>29</v>
      </c>
      <c r="AA66" s="1" t="s">
        <v>30</v>
      </c>
      <c r="AB66" s="1" t="s">
        <v>31</v>
      </c>
      <c r="AC66" s="1" t="s">
        <v>32</v>
      </c>
    </row>
    <row r="67" spans="1:30" x14ac:dyDescent="0.3">
      <c r="A67" s="1" t="s">
        <v>4</v>
      </c>
      <c r="B67" s="5">
        <v>1</v>
      </c>
      <c r="C67" s="5">
        <f>1/3</f>
        <v>0.33333333333333331</v>
      </c>
      <c r="D67" s="5">
        <f>1/2</f>
        <v>0.5</v>
      </c>
      <c r="E67" s="5">
        <f>1/2</f>
        <v>0.5</v>
      </c>
      <c r="G67" s="1" t="s">
        <v>4</v>
      </c>
      <c r="H67" s="5">
        <v>1</v>
      </c>
      <c r="I67" s="5">
        <f>1/5</f>
        <v>0.2</v>
      </c>
      <c r="J67" s="5">
        <f>1/2</f>
        <v>0.5</v>
      </c>
      <c r="K67" s="5">
        <f>1/3</f>
        <v>0.33333333333333331</v>
      </c>
      <c r="M67" s="1" t="s">
        <v>4</v>
      </c>
      <c r="N67" s="5">
        <v>1</v>
      </c>
      <c r="O67" s="5">
        <f>1/3</f>
        <v>0.33333333333333331</v>
      </c>
      <c r="P67" s="5">
        <f>1/3</f>
        <v>0.33333333333333331</v>
      </c>
      <c r="Q67" s="5">
        <f>1/2</f>
        <v>0.5</v>
      </c>
      <c r="S67" s="1" t="s">
        <v>4</v>
      </c>
      <c r="T67" s="5">
        <v>1</v>
      </c>
      <c r="U67" s="5">
        <f>POWER(C67*I67*O67,1/3)</f>
        <v>0.28114422176724974</v>
      </c>
      <c r="V67" s="5">
        <f>POWER(D67*J67*P67,1/3)</f>
        <v>0.4367902323681494</v>
      </c>
      <c r="W67" s="5">
        <f>POWER(E67*K67*Q67,1/3)</f>
        <v>0.4367902323681494</v>
      </c>
      <c r="Y67" s="6">
        <f>PRODUCT(T67:W67)</f>
        <v>5.36382991447572E-2</v>
      </c>
      <c r="Z67" s="6">
        <f>POWER(Y67,1/4)</f>
        <v>0.48124779151735153</v>
      </c>
      <c r="AA67" s="6">
        <f>Z67/SUM(Z67:Z70)</f>
        <v>9.8724760461548877E-2</v>
      </c>
      <c r="AB67" s="6">
        <f>T67*AA67+U67*AA68+V67*AA69+W67*AA70</f>
        <v>0.40969432391864191</v>
      </c>
      <c r="AC67" s="6">
        <f>AB67/AA67</f>
        <v>4.149863945005051</v>
      </c>
    </row>
    <row r="68" spans="1:30" x14ac:dyDescent="0.3">
      <c r="A68" s="1" t="s">
        <v>8</v>
      </c>
      <c r="B68" s="5">
        <f>1/C67</f>
        <v>3</v>
      </c>
      <c r="C68" s="5">
        <v>1</v>
      </c>
      <c r="D68" s="5">
        <v>3</v>
      </c>
      <c r="E68" s="5">
        <v>3</v>
      </c>
      <c r="G68" s="1" t="s">
        <v>8</v>
      </c>
      <c r="H68" s="5">
        <f>1/I67</f>
        <v>5</v>
      </c>
      <c r="I68" s="5">
        <v>1</v>
      </c>
      <c r="J68" s="5">
        <v>5</v>
      </c>
      <c r="K68" s="5">
        <v>3</v>
      </c>
      <c r="M68" s="1" t="s">
        <v>8</v>
      </c>
      <c r="N68" s="5">
        <f>1/O67</f>
        <v>3</v>
      </c>
      <c r="O68" s="5">
        <v>1</v>
      </c>
      <c r="P68" s="5">
        <v>3</v>
      </c>
      <c r="Q68" s="5">
        <v>5</v>
      </c>
      <c r="S68" s="1" t="s">
        <v>8</v>
      </c>
      <c r="T68" s="5">
        <f>POWER(B68*H68*N68,1/3)</f>
        <v>3.5568933044900626</v>
      </c>
      <c r="U68" s="5">
        <v>1</v>
      </c>
      <c r="V68" s="5">
        <f>POWER(D68*J68*P68,1/3)</f>
        <v>3.5568933044900626</v>
      </c>
      <c r="W68" s="5">
        <f>POWER(E68*K68*Q68,1/3)</f>
        <v>3.5568933044900626</v>
      </c>
      <c r="Y68" s="6">
        <f>PRODUCT(T68:W68)</f>
        <v>44.999999999999993</v>
      </c>
      <c r="Z68" s="6">
        <f>POWER(Y68,1/4)</f>
        <v>2.5900200641113513</v>
      </c>
      <c r="AA68" s="6">
        <f>Z68/SUM(Z67:Z70)</f>
        <v>0.53132526512753742</v>
      </c>
      <c r="AB68" s="6">
        <f>T68*AA67+U68*AA68+V68*AA69+W68*AA70</f>
        <v>2.1983512915790548</v>
      </c>
      <c r="AC68" s="6">
        <f>AB68/AA68</f>
        <v>4.137486838784846</v>
      </c>
    </row>
    <row r="69" spans="1:30" x14ac:dyDescent="0.3">
      <c r="A69" s="1" t="s">
        <v>12</v>
      </c>
      <c r="B69" s="5">
        <f>1/D67</f>
        <v>2</v>
      </c>
      <c r="C69" s="5">
        <f>1/D68</f>
        <v>0.33333333333333331</v>
      </c>
      <c r="D69" s="5">
        <v>1</v>
      </c>
      <c r="E69" s="5">
        <v>1</v>
      </c>
      <c r="G69" s="1" t="s">
        <v>12</v>
      </c>
      <c r="H69" s="5">
        <f>1/J67</f>
        <v>2</v>
      </c>
      <c r="I69" s="5">
        <f>1/J68</f>
        <v>0.2</v>
      </c>
      <c r="J69" s="5">
        <v>1</v>
      </c>
      <c r="K69" s="5">
        <v>2</v>
      </c>
      <c r="M69" s="1" t="s">
        <v>12</v>
      </c>
      <c r="N69" s="5">
        <f>1/P67</f>
        <v>3</v>
      </c>
      <c r="O69" s="5">
        <f>1/P68</f>
        <v>0.33333333333333331</v>
      </c>
      <c r="P69" s="5">
        <v>1</v>
      </c>
      <c r="Q69" s="5">
        <v>2</v>
      </c>
      <c r="S69" s="1" t="s">
        <v>12</v>
      </c>
      <c r="T69" s="5">
        <f>POWER(B69*H69*N69,1/3)</f>
        <v>2.2894284851066637</v>
      </c>
      <c r="U69" s="5">
        <f>POWER(C69*I69*O69,1/3)</f>
        <v>0.28114422176724974</v>
      </c>
      <c r="V69" s="5">
        <v>1</v>
      </c>
      <c r="W69" s="5">
        <f>POWER(E69*K69*Q69,1/3)</f>
        <v>1.5874010519681994</v>
      </c>
      <c r="Y69" s="6">
        <f>PRODUCT(T69:W69)</f>
        <v>1.0217459098580708</v>
      </c>
      <c r="Z69" s="6">
        <f>POWER(Y69,1/4)</f>
        <v>1.0053926986291915</v>
      </c>
      <c r="AA69" s="6">
        <f>Z69/SUM(Z67:Z70)</f>
        <v>0.20624957681157147</v>
      </c>
      <c r="AB69" s="6">
        <f>T69*AA67+U69*AA68+V69*AA69+W69*AA70</f>
        <v>0.84151006712394116</v>
      </c>
      <c r="AC69" s="6">
        <f>AB69/AA69</f>
        <v>4.0800571818517737</v>
      </c>
    </row>
    <row r="70" spans="1:30" x14ac:dyDescent="0.3">
      <c r="A70" s="1" t="s">
        <v>16</v>
      </c>
      <c r="B70" s="5">
        <f>1/E67</f>
        <v>2</v>
      </c>
      <c r="C70" s="5">
        <f>1/E68</f>
        <v>0.33333333333333331</v>
      </c>
      <c r="D70" s="5">
        <f>1/E69</f>
        <v>1</v>
      </c>
      <c r="E70" s="5">
        <v>1</v>
      </c>
      <c r="G70" s="1" t="s">
        <v>16</v>
      </c>
      <c r="H70" s="5">
        <f>1/K67</f>
        <v>3</v>
      </c>
      <c r="I70" s="5">
        <f>1/K68</f>
        <v>0.33333333333333331</v>
      </c>
      <c r="J70" s="5">
        <f>1/K69</f>
        <v>0.5</v>
      </c>
      <c r="K70" s="5">
        <v>1</v>
      </c>
      <c r="M70" s="1" t="s">
        <v>16</v>
      </c>
      <c r="N70" s="5">
        <f>1/Q67</f>
        <v>2</v>
      </c>
      <c r="O70" s="5">
        <f>1/Q68</f>
        <v>0.2</v>
      </c>
      <c r="P70" s="5">
        <f>1/Q69</f>
        <v>0.5</v>
      </c>
      <c r="Q70" s="5">
        <v>1</v>
      </c>
      <c r="S70" s="1" t="s">
        <v>16</v>
      </c>
      <c r="T70" s="5">
        <f>POWER(B70*H70*N70,1/3)</f>
        <v>2.2894284851066637</v>
      </c>
      <c r="U70" s="5">
        <f>POWER(C70*I70*O70,1/3)</f>
        <v>0.28114422176724979</v>
      </c>
      <c r="V70" s="5">
        <f>POWER(D70*J70*P70,1/3)</f>
        <v>0.6299605249474366</v>
      </c>
      <c r="W70" s="5">
        <v>1</v>
      </c>
      <c r="Y70" s="6">
        <f>PRODUCT(T70:W70)</f>
        <v>0.40548013303822672</v>
      </c>
      <c r="Z70" s="6">
        <f>POWER(Y70,1/4)</f>
        <v>0.79798071372256274</v>
      </c>
      <c r="AA70" s="6">
        <f>Z70/SUM(Z67:Z70)</f>
        <v>0.16370039759934227</v>
      </c>
      <c r="AB70" s="6">
        <f>T70*AA67+U70*AA68+V70*AA69+W70*AA70</f>
        <v>0.66903179623330777</v>
      </c>
      <c r="AC70" s="6">
        <f>AB70/AA70</f>
        <v>4.0869283523108306</v>
      </c>
    </row>
    <row r="72" spans="1:30" x14ac:dyDescent="0.3">
      <c r="Y72" s="1" t="s">
        <v>33</v>
      </c>
      <c r="Z72" s="2">
        <f>AVERAGE(AC67:AC70)</f>
        <v>4.1135840794881258</v>
      </c>
    </row>
    <row r="73" spans="1:30" x14ac:dyDescent="0.3">
      <c r="Y73" s="1" t="s">
        <v>34</v>
      </c>
      <c r="Z73" s="2">
        <f>(Z72-4)/(4-1)</f>
        <v>3.7861359829375253E-2</v>
      </c>
    </row>
    <row r="74" spans="1:30" x14ac:dyDescent="0.3">
      <c r="Y74" s="1" t="s">
        <v>35</v>
      </c>
      <c r="Z74" s="2">
        <f>Z73/0.9</f>
        <v>4.2068177588194727E-2</v>
      </c>
    </row>
    <row r="84" spans="1:14" x14ac:dyDescent="0.3">
      <c r="A84" s="15" t="s">
        <v>39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28.8" x14ac:dyDescent="0.3">
      <c r="A85" s="1" t="s">
        <v>2</v>
      </c>
      <c r="B85" s="1" t="s">
        <v>3</v>
      </c>
      <c r="C85" s="1" t="s">
        <v>40</v>
      </c>
      <c r="D85" s="1" t="s">
        <v>41</v>
      </c>
    </row>
    <row r="86" spans="1:14" ht="43.2" x14ac:dyDescent="0.3">
      <c r="A86" s="2" t="s">
        <v>4</v>
      </c>
      <c r="B86" s="3" t="s">
        <v>5</v>
      </c>
      <c r="C86" s="6">
        <f>BG12*AA31+BG13*AA49+BG14*AA67+BG15*AA13</f>
        <v>0.20646070299378166</v>
      </c>
      <c r="D86" s="2">
        <f>RANK(C86,$C$86:$C$89,0)</f>
        <v>2</v>
      </c>
    </row>
    <row r="87" spans="1:14" ht="43.2" x14ac:dyDescent="0.3">
      <c r="A87" s="2" t="s">
        <v>8</v>
      </c>
      <c r="B87" s="3" t="s">
        <v>9</v>
      </c>
      <c r="C87" s="6">
        <f>BG12*AA32+BG13*AA50+BG14*AA68+BG15*AA14</f>
        <v>0.58093211264546363</v>
      </c>
      <c r="D87" s="2">
        <f>RANK(C87,$C$86:$C$89,0)</f>
        <v>1</v>
      </c>
    </row>
    <row r="88" spans="1:14" ht="28.8" x14ac:dyDescent="0.3">
      <c r="A88" s="2" t="s">
        <v>12</v>
      </c>
      <c r="B88" s="3" t="s">
        <v>13</v>
      </c>
      <c r="C88" s="6">
        <f>BG12*AA33+BG13*AA51+BG14*AA69+BG15*AA15</f>
        <v>9.1324080838755248E-2</v>
      </c>
      <c r="D88" s="2">
        <f>RANK(C88,$C$86:$C$89,0)</f>
        <v>4</v>
      </c>
    </row>
    <row r="89" spans="1:14" ht="28.8" x14ac:dyDescent="0.3">
      <c r="A89" s="2" t="s">
        <v>16</v>
      </c>
      <c r="B89" s="3" t="s">
        <v>17</v>
      </c>
      <c r="C89" s="6">
        <f>BG12*AA34+BG13*AA52+BG14*AA70+BG15*AA16</f>
        <v>0.1212831035219995</v>
      </c>
      <c r="D89" s="2">
        <f>RANK(C89,$C$86:$C$89,0)</f>
        <v>3</v>
      </c>
    </row>
    <row r="91" spans="1:14" x14ac:dyDescent="0.3">
      <c r="A91" s="7" t="s">
        <v>42</v>
      </c>
      <c r="B91" s="3" t="str">
        <f>INDEX($B$5:$B$8,MATCH(1,$D$86:$D$89,0))</f>
        <v>Торты (магазин + 3D-конструктор)</v>
      </c>
    </row>
  </sheetData>
  <mergeCells count="44">
    <mergeCell ref="A1:AN1"/>
    <mergeCell ref="AY10:BC10"/>
    <mergeCell ref="AG8:BA8"/>
    <mergeCell ref="S65:W65"/>
    <mergeCell ref="B6:C6"/>
    <mergeCell ref="A29:E29"/>
    <mergeCell ref="G29:K29"/>
    <mergeCell ref="B5:C5"/>
    <mergeCell ref="M29:Q29"/>
    <mergeCell ref="S29:W29"/>
    <mergeCell ref="G47:K47"/>
    <mergeCell ref="M47:Q47"/>
    <mergeCell ref="A64:AD64"/>
    <mergeCell ref="B4:C4"/>
    <mergeCell ref="A84:N84"/>
    <mergeCell ref="F8:G8"/>
    <mergeCell ref="M65:Q65"/>
    <mergeCell ref="BE10:BJ10"/>
    <mergeCell ref="A47:E47"/>
    <mergeCell ref="A10:AD10"/>
    <mergeCell ref="A28:AD28"/>
    <mergeCell ref="Y47:AD47"/>
    <mergeCell ref="G65:K65"/>
    <mergeCell ref="AM10:AQ10"/>
    <mergeCell ref="A65:E65"/>
    <mergeCell ref="M11:Q11"/>
    <mergeCell ref="S11:W11"/>
    <mergeCell ref="F5:G5"/>
    <mergeCell ref="Y65:AD65"/>
    <mergeCell ref="B8:C8"/>
    <mergeCell ref="A3:C3"/>
    <mergeCell ref="AG10:AK10"/>
    <mergeCell ref="AS10:AW10"/>
    <mergeCell ref="A46:AD46"/>
    <mergeCell ref="F7:G7"/>
    <mergeCell ref="E3:G3"/>
    <mergeCell ref="F4:G4"/>
    <mergeCell ref="Y29:AD29"/>
    <mergeCell ref="Y11:AD11"/>
    <mergeCell ref="B7:C7"/>
    <mergeCell ref="S47:W47"/>
    <mergeCell ref="A11:E11"/>
    <mergeCell ref="G11:K11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john</cp:lastModifiedBy>
  <dcterms:created xsi:type="dcterms:W3CDTF">2026-01-07T18:40:12Z</dcterms:created>
  <dcterms:modified xsi:type="dcterms:W3CDTF">2026-01-08T14:02:03Z</dcterms:modified>
</cp:coreProperties>
</file>