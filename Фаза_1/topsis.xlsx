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card\Desktop\ПРОЕКТМЭН\1\"/>
    </mc:Choice>
  </mc:AlternateContent>
  <xr:revisionPtr revIDLastSave="0" documentId="13_ncr:1_{4A569E28-CD0E-41AA-835E-B0C8C60A13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  <c r="B30" i="1"/>
  <c r="B31" i="1"/>
  <c r="B28" i="1"/>
  <c r="R11" i="1"/>
  <c r="U11" i="1" s="1"/>
  <c r="R12" i="1"/>
  <c r="U12" i="1" s="1"/>
  <c r="R13" i="1"/>
  <c r="U13" i="1" s="1"/>
  <c r="R14" i="1"/>
  <c r="U14" i="1" s="1"/>
  <c r="R15" i="1"/>
  <c r="U15" i="1" s="1"/>
  <c r="R16" i="1"/>
  <c r="U16" i="1" s="1"/>
  <c r="R20" i="1"/>
  <c r="U20" i="1" s="1"/>
  <c r="R21" i="1"/>
  <c r="U21" i="1" s="1"/>
  <c r="Q11" i="1"/>
  <c r="T11" i="1" s="1"/>
  <c r="Q12" i="1"/>
  <c r="T12" i="1" s="1"/>
  <c r="Q13" i="1"/>
  <c r="T13" i="1" s="1"/>
  <c r="Q25" i="1"/>
  <c r="T25" i="1" s="1"/>
  <c r="P11" i="1"/>
  <c r="S11" i="1" s="1"/>
  <c r="P12" i="1"/>
  <c r="S12" i="1" s="1"/>
  <c r="P13" i="1"/>
  <c r="S13" i="1" s="1"/>
  <c r="P14" i="1"/>
  <c r="S14" i="1" s="1"/>
  <c r="P15" i="1"/>
  <c r="S15" i="1" s="1"/>
  <c r="P16" i="1"/>
  <c r="S16" i="1" s="1"/>
  <c r="P17" i="1"/>
  <c r="S17" i="1" s="1"/>
  <c r="P18" i="1"/>
  <c r="S18" i="1" s="1"/>
  <c r="R10" i="1"/>
  <c r="U10" i="1" s="1"/>
  <c r="Q10" i="1"/>
  <c r="T10" i="1" s="1"/>
  <c r="P10" i="1"/>
  <c r="S10" i="1" s="1"/>
  <c r="O11" i="1"/>
  <c r="O12" i="1"/>
  <c r="O13" i="1"/>
  <c r="O14" i="1"/>
  <c r="O15" i="1"/>
  <c r="O16" i="1"/>
  <c r="O17" i="1"/>
  <c r="R17" i="1" s="1"/>
  <c r="U17" i="1" s="1"/>
  <c r="O18" i="1"/>
  <c r="O19" i="1"/>
  <c r="O20" i="1"/>
  <c r="O21" i="1"/>
  <c r="O22" i="1"/>
  <c r="R22" i="1" s="1"/>
  <c r="U22" i="1" s="1"/>
  <c r="O23" i="1"/>
  <c r="R23" i="1" s="1"/>
  <c r="U23" i="1" s="1"/>
  <c r="O24" i="1"/>
  <c r="R24" i="1" s="1"/>
  <c r="U24" i="1" s="1"/>
  <c r="O25" i="1"/>
  <c r="Q6" i="1" s="1"/>
  <c r="Q22" i="1" s="1"/>
  <c r="T22" i="1" s="1"/>
  <c r="N11" i="1"/>
  <c r="N12" i="1"/>
  <c r="N13" i="1"/>
  <c r="N14" i="1"/>
  <c r="Q14" i="1" s="1"/>
  <c r="T14" i="1" s="1"/>
  <c r="N15" i="1"/>
  <c r="Q15" i="1" s="1"/>
  <c r="T15" i="1" s="1"/>
  <c r="N16" i="1"/>
  <c r="Q16" i="1" s="1"/>
  <c r="T16" i="1" s="1"/>
  <c r="N17" i="1"/>
  <c r="Q17" i="1" s="1"/>
  <c r="T17" i="1" s="1"/>
  <c r="N18" i="1"/>
  <c r="N19" i="1"/>
  <c r="N20" i="1"/>
  <c r="N21" i="1"/>
  <c r="N22" i="1"/>
  <c r="N23" i="1"/>
  <c r="N24" i="1"/>
  <c r="N25" i="1"/>
  <c r="M11" i="1"/>
  <c r="M12" i="1"/>
  <c r="M13" i="1"/>
  <c r="M14" i="1"/>
  <c r="M15" i="1"/>
  <c r="M16" i="1"/>
  <c r="M17" i="1"/>
  <c r="M18" i="1"/>
  <c r="M19" i="1"/>
  <c r="M20" i="1"/>
  <c r="M21" i="1"/>
  <c r="M22" i="1"/>
  <c r="P22" i="1" s="1"/>
  <c r="M23" i="1"/>
  <c r="P23" i="1" s="1"/>
  <c r="M24" i="1"/>
  <c r="P24" i="1" s="1"/>
  <c r="S24" i="1" s="1"/>
  <c r="M25" i="1"/>
  <c r="P25" i="1" s="1"/>
  <c r="P6" i="1"/>
  <c r="Q5" i="1"/>
  <c r="P5" i="1"/>
  <c r="P19" i="1" s="1"/>
  <c r="S19" i="1" s="1"/>
  <c r="Q4" i="1"/>
  <c r="P4" i="1"/>
  <c r="O10" i="1"/>
  <c r="Q3" i="1" s="1"/>
  <c r="N10" i="1"/>
  <c r="M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10" i="1"/>
  <c r="O4" i="1"/>
  <c r="O5" i="1"/>
  <c r="O6" i="1"/>
  <c r="N4" i="1"/>
  <c r="N5" i="1"/>
  <c r="N6" i="1"/>
  <c r="M4" i="1"/>
  <c r="M5" i="1"/>
  <c r="M6" i="1"/>
  <c r="N3" i="1"/>
  <c r="O3" i="1"/>
  <c r="M3" i="1"/>
  <c r="R3" i="1" l="1"/>
  <c r="Y13" i="1" s="1"/>
  <c r="T3" i="1"/>
  <c r="S25" i="1"/>
  <c r="S22" i="1"/>
  <c r="S23" i="1"/>
  <c r="U4" i="1"/>
  <c r="R4" i="1"/>
  <c r="V3" i="1"/>
  <c r="S3" i="1"/>
  <c r="R6" i="1"/>
  <c r="U6" i="1"/>
  <c r="Y12" i="1"/>
  <c r="Y11" i="1"/>
  <c r="S4" i="1"/>
  <c r="V4" i="1"/>
  <c r="Z17" i="1" s="1"/>
  <c r="T4" i="1"/>
  <c r="Y14" i="1" s="1"/>
  <c r="W4" i="1"/>
  <c r="Z14" i="1" s="1"/>
  <c r="Q23" i="1"/>
  <c r="T23" i="1" s="1"/>
  <c r="Y10" i="1"/>
  <c r="Q24" i="1"/>
  <c r="T24" i="1" s="1"/>
  <c r="Q21" i="1"/>
  <c r="T21" i="1" s="1"/>
  <c r="Q20" i="1"/>
  <c r="T20" i="1" s="1"/>
  <c r="Q19" i="1"/>
  <c r="T19" i="1" s="1"/>
  <c r="Q18" i="1"/>
  <c r="T18" i="1" s="1"/>
  <c r="W3" i="1"/>
  <c r="R19" i="1"/>
  <c r="U19" i="1" s="1"/>
  <c r="P3" i="1"/>
  <c r="U3" i="1"/>
  <c r="P21" i="1"/>
  <c r="S21" i="1" s="1"/>
  <c r="U5" i="1" s="1"/>
  <c r="P20" i="1"/>
  <c r="S20" i="1" s="1"/>
  <c r="R18" i="1"/>
  <c r="U18" i="1" s="1"/>
  <c r="R25" i="1"/>
  <c r="U25" i="1" s="1"/>
  <c r="Z10" i="1" l="1"/>
  <c r="Z13" i="1"/>
  <c r="C28" i="1"/>
  <c r="Z12" i="1"/>
  <c r="Z11" i="1"/>
  <c r="Y17" i="1"/>
  <c r="Z16" i="1"/>
  <c r="Y16" i="1"/>
  <c r="Z15" i="1"/>
  <c r="Y15" i="1"/>
  <c r="W5" i="1"/>
  <c r="T5" i="1"/>
  <c r="R5" i="1"/>
  <c r="Y19" i="1" s="1"/>
  <c r="S5" i="1"/>
  <c r="Y18" i="1" s="1"/>
  <c r="V5" i="1"/>
  <c r="Z18" i="1" s="1"/>
  <c r="T6" i="1"/>
  <c r="V6" i="1"/>
  <c r="Z22" i="1" s="1"/>
  <c r="W6" i="1"/>
  <c r="S6" i="1"/>
  <c r="Y22" i="1" s="1"/>
  <c r="Z19" i="1"/>
  <c r="D28" i="1" l="1"/>
  <c r="E28" i="1" s="1"/>
  <c r="Z21" i="1"/>
  <c r="D31" i="1" s="1"/>
  <c r="Y25" i="1"/>
  <c r="Y23" i="1"/>
  <c r="C29" i="1" s="1"/>
  <c r="Y20" i="1"/>
  <c r="C30" i="1" s="1"/>
  <c r="Y21" i="1"/>
  <c r="C31" i="1" s="1"/>
  <c r="Z23" i="1"/>
  <c r="D29" i="1" s="1"/>
  <c r="E29" i="1" s="1"/>
  <c r="Y24" i="1"/>
  <c r="Z20" i="1"/>
  <c r="D30" i="1" s="1"/>
  <c r="E30" i="1" s="1"/>
  <c r="Z24" i="1"/>
  <c r="Z25" i="1"/>
  <c r="E31" i="1" l="1"/>
  <c r="F31" i="1" s="1"/>
  <c r="F28" i="1"/>
  <c r="F29" i="1" l="1"/>
  <c r="F30" i="1"/>
</calcChain>
</file>

<file path=xl/sharedStrings.xml><?xml version="1.0" encoding="utf-8"?>
<sst xmlns="http://schemas.openxmlformats.org/spreadsheetml/2006/main" count="154" uniqueCount="81">
  <si>
    <t>код</t>
  </si>
  <si>
    <t>критерий</t>
  </si>
  <si>
    <t>тип</t>
  </si>
  <si>
    <t>wL</t>
  </si>
  <si>
    <t>wM</t>
  </si>
  <si>
    <t>wU</t>
  </si>
  <si>
    <t>minL (для cost)</t>
  </si>
  <si>
    <t>maxU (для benefit)</t>
  </si>
  <si>
    <t>Ideal_L</t>
  </si>
  <si>
    <t>Ideal_M</t>
  </si>
  <si>
    <t>Ideal_U</t>
  </si>
  <si>
    <t>Anti_L</t>
  </si>
  <si>
    <t>Anti_M</t>
  </si>
  <si>
    <t>Anti_U</t>
  </si>
  <si>
    <t>C1</t>
  </si>
  <si>
    <t>C2</t>
  </si>
  <si>
    <t>C3</t>
  </si>
  <si>
    <t>C4</t>
  </si>
  <si>
    <t>Время до MVP</t>
  </si>
  <si>
    <t>Бизнес/пользовательская ценность</t>
  </si>
  <si>
    <t>Риск/неопределённость</t>
  </si>
  <si>
    <t>cost</t>
  </si>
  <si>
    <t>benefit</t>
  </si>
  <si>
    <t>Справочник альтернатив</t>
  </si>
  <si>
    <t>название</t>
  </si>
  <si>
    <t>а1</t>
  </si>
  <si>
    <t>а2</t>
  </si>
  <si>
    <t>а3</t>
  </si>
  <si>
    <t>а4</t>
  </si>
  <si>
    <t>Киберпанк-зеркало (RPi + GUI + сервер)</t>
  </si>
  <si>
    <t>Онлайн-магазин тортов + 3D-конструктор</t>
  </si>
  <si>
    <t>Сервис заявок/тикетов</t>
  </si>
  <si>
    <t>Планировщик питания + список покупок</t>
  </si>
  <si>
    <t>Критерий</t>
  </si>
  <si>
    <t>Альтернатива</t>
  </si>
  <si>
    <t>Название альтернативы</t>
  </si>
  <si>
    <t>X_L</t>
  </si>
  <si>
    <t>X_M</t>
  </si>
  <si>
    <t>X_U</t>
  </si>
  <si>
    <t>r_L</t>
  </si>
  <si>
    <t>r_M</t>
  </si>
  <si>
    <t>r_U</t>
  </si>
  <si>
    <t>v_L</t>
  </si>
  <si>
    <t>v_M</t>
  </si>
  <si>
    <t>v_U</t>
  </si>
  <si>
    <t>d+ (to ideal)</t>
  </si>
  <si>
    <t>d- (to anti)</t>
  </si>
  <si>
    <t>c2</t>
  </si>
  <si>
    <t>c3</t>
  </si>
  <si>
    <t>c4</t>
  </si>
  <si>
    <t>альтернатива</t>
  </si>
  <si>
    <t>d+</t>
  </si>
  <si>
    <t>d-</t>
  </si>
  <si>
    <t>CC</t>
  </si>
  <si>
    <t>Ранг</t>
  </si>
  <si>
    <t>Проработанность требований и пользовательских сценариев</t>
  </si>
  <si>
    <t>Пекшев_п</t>
  </si>
  <si>
    <t>Пекшев_н</t>
  </si>
  <si>
    <t>Пекшев_о</t>
  </si>
  <si>
    <t>Ряховский_п</t>
  </si>
  <si>
    <t>Ряховский_н</t>
  </si>
  <si>
    <t>Ряховский_о</t>
  </si>
  <si>
    <t>А_п</t>
  </si>
  <si>
    <t>А_н</t>
  </si>
  <si>
    <t>А_о</t>
  </si>
  <si>
    <t>вес</t>
  </si>
  <si>
    <t>оценка</t>
  </si>
  <si>
    <t>мин</t>
  </si>
  <si>
    <t>сред</t>
  </si>
  <si>
    <t>макс</t>
  </si>
  <si>
    <t>нормализованная оценка</t>
  </si>
  <si>
    <t>взвешенно-нормализованные значения</t>
  </si>
  <si>
    <t>расстояние от этой альтернативы до идеального решения по данному критерию</t>
  </si>
  <si>
    <r>
      <t xml:space="preserve">расстояние до </t>
    </r>
    <r>
      <rPr>
        <sz val="11"/>
        <color theme="1"/>
        <rFont val="Calibri"/>
        <family val="2"/>
        <charset val="204"/>
        <scheme val="minor"/>
      </rPr>
      <t>анти-идеального</t>
    </r>
    <r>
      <rPr>
        <sz val="11"/>
        <color theme="1"/>
        <rFont val="Calibri"/>
        <family val="2"/>
        <scheme val="minor"/>
      </rPr>
      <t xml:space="preserve"> решения</t>
    </r>
  </si>
  <si>
    <t>суммарное расстояние до идеала по всем критериям (SUMIF по столбцу Y)</t>
  </si>
  <si>
    <t>суммарное расстояние до анти-идеала (SUMIF по столбцу Z)</t>
  </si>
  <si>
    <t>коэффициент близости</t>
  </si>
  <si>
    <t>аггрегированный вес 3 экспертов</t>
  </si>
  <si>
    <t>константа для нормализации</t>
  </si>
  <si>
    <t>идеальная точка по критерию</t>
  </si>
  <si>
    <t>анти-идеальная точка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</si>
</sst>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1"/>
  <sheetViews>
    <sheetView tabSelected="1" topLeftCell="E1" workbookViewId="0">
      <selection activeCell="W1" sqref="W1"/>
    </sheetView>
  </sheetViews>
  <sheetFormatPr defaultRowHeight="14.4" x14ac:dyDescent="0.3"/>
  <cols>
    <col min="2" max="2" width="50.44140625" customWidth="1"/>
    <col min="3" max="3" width="35.5546875" customWidth="1"/>
    <col min="16" max="16" width="12.6640625" customWidth="1"/>
    <col min="17" max="17" width="14.21875" customWidth="1"/>
    <col min="18" max="18" width="14.109375" customWidth="1"/>
  </cols>
  <sheetData>
    <row r="1" spans="1:28" x14ac:dyDescent="0.3">
      <c r="D1" t="s">
        <v>65</v>
      </c>
      <c r="E1" t="s">
        <v>65</v>
      </c>
      <c r="F1" t="s">
        <v>65</v>
      </c>
      <c r="G1" t="s">
        <v>65</v>
      </c>
      <c r="H1" t="s">
        <v>65</v>
      </c>
      <c r="I1" t="s">
        <v>65</v>
      </c>
      <c r="J1" t="s">
        <v>65</v>
      </c>
      <c r="K1" t="s">
        <v>65</v>
      </c>
      <c r="L1" t="s">
        <v>65</v>
      </c>
      <c r="M1" t="s">
        <v>77</v>
      </c>
      <c r="N1" t="s">
        <v>77</v>
      </c>
      <c r="O1" t="s">
        <v>77</v>
      </c>
      <c r="P1" t="s">
        <v>78</v>
      </c>
      <c r="Q1" t="s">
        <v>78</v>
      </c>
      <c r="R1" t="s">
        <v>79</v>
      </c>
      <c r="S1" t="s">
        <v>79</v>
      </c>
      <c r="T1" t="s">
        <v>79</v>
      </c>
      <c r="U1" t="s">
        <v>80</v>
      </c>
      <c r="V1" t="s">
        <v>80</v>
      </c>
      <c r="W1" t="s">
        <v>80</v>
      </c>
    </row>
    <row r="2" spans="1:28" x14ac:dyDescent="0.3">
      <c r="A2" s="3" t="s">
        <v>0</v>
      </c>
      <c r="B2" s="2" t="s">
        <v>1</v>
      </c>
      <c r="C2" s="2" t="s">
        <v>2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3</v>
      </c>
      <c r="N2" s="2" t="s">
        <v>4</v>
      </c>
      <c r="O2" s="2" t="s">
        <v>5</v>
      </c>
      <c r="P2" s="2" t="s">
        <v>6</v>
      </c>
      <c r="Q2" s="2" t="s">
        <v>7</v>
      </c>
      <c r="R2" s="2" t="s">
        <v>8</v>
      </c>
      <c r="S2" s="2" t="s">
        <v>9</v>
      </c>
      <c r="T2" s="2" t="s">
        <v>10</v>
      </c>
      <c r="U2" s="2" t="s">
        <v>11</v>
      </c>
      <c r="V2" s="2" t="s">
        <v>12</v>
      </c>
      <c r="W2" s="2" t="s">
        <v>13</v>
      </c>
      <c r="AA2" s="2" t="s">
        <v>23</v>
      </c>
      <c r="AB2" s="4"/>
    </row>
    <row r="3" spans="1:28" x14ac:dyDescent="0.3">
      <c r="A3" s="2" t="s">
        <v>14</v>
      </c>
      <c r="B3" t="s">
        <v>18</v>
      </c>
      <c r="C3" t="s">
        <v>21</v>
      </c>
      <c r="D3">
        <v>0.23</v>
      </c>
      <c r="E3">
        <v>0.24</v>
      </c>
      <c r="F3">
        <v>0.25</v>
      </c>
      <c r="G3">
        <v>0.24</v>
      </c>
      <c r="H3">
        <v>0.25</v>
      </c>
      <c r="I3">
        <v>0.27</v>
      </c>
      <c r="J3">
        <v>0.25</v>
      </c>
      <c r="K3">
        <v>0.26</v>
      </c>
      <c r="L3">
        <v>0.27</v>
      </c>
      <c r="M3" s="1">
        <f>MIN(D3,G3,J3)</f>
        <v>0.23</v>
      </c>
      <c r="N3" s="1">
        <f>MAX(F3,I3,L3)</f>
        <v>0.27</v>
      </c>
      <c r="O3" s="1">
        <f>MAX(F3,I3,L3)</f>
        <v>0.27</v>
      </c>
      <c r="P3">
        <f>MIN($M$10:$M$13)</f>
        <v>2</v>
      </c>
      <c r="Q3">
        <f>MAX($O$10:$O$13)</f>
        <v>6</v>
      </c>
      <c r="R3">
        <f>MAX($S$10:$S$13)</f>
        <v>0.115</v>
      </c>
      <c r="S3">
        <f>MAX($T$10:$T$13)</f>
        <v>0.18</v>
      </c>
      <c r="T3">
        <f>MAX($U$10:$U$13)</f>
        <v>0.27</v>
      </c>
      <c r="U3">
        <f>MIN($S$10:$S$13)</f>
        <v>7.6666666666666661E-2</v>
      </c>
      <c r="V3">
        <f>MIN($T$10:$T$13)</f>
        <v>0.10800000000000001</v>
      </c>
      <c r="W3">
        <f>MIN($U$10:$U$13)</f>
        <v>0.13500000000000001</v>
      </c>
      <c r="AA3" s="2" t="s">
        <v>0</v>
      </c>
      <c r="AB3" s="2" t="s">
        <v>24</v>
      </c>
    </row>
    <row r="4" spans="1:28" x14ac:dyDescent="0.3">
      <c r="A4" s="2" t="s">
        <v>15</v>
      </c>
      <c r="B4" t="s">
        <v>19</v>
      </c>
      <c r="C4" t="s">
        <v>22</v>
      </c>
      <c r="D4">
        <v>0.24</v>
      </c>
      <c r="E4">
        <v>0.26</v>
      </c>
      <c r="F4">
        <v>0.27</v>
      </c>
      <c r="G4">
        <v>0.23</v>
      </c>
      <c r="H4">
        <v>0.24</v>
      </c>
      <c r="I4">
        <v>0.25</v>
      </c>
      <c r="J4">
        <v>0.23</v>
      </c>
      <c r="K4">
        <v>0.25</v>
      </c>
      <c r="L4">
        <v>0.27</v>
      </c>
      <c r="M4" s="1">
        <f t="shared" ref="M4:M6" si="0">MIN(D4,G4,J4)</f>
        <v>0.23</v>
      </c>
      <c r="N4" s="1">
        <f t="shared" ref="N4:N6" si="1">MAX(F4,I4,L4)</f>
        <v>0.27</v>
      </c>
      <c r="O4" s="1">
        <f t="shared" ref="O4:O6" si="2">MAX(F4,I4,L4)</f>
        <v>0.27</v>
      </c>
      <c r="P4">
        <f>MIN($M$14:$M$17)</f>
        <v>5</v>
      </c>
      <c r="Q4">
        <f>MAX($O$14:$O$17)</f>
        <v>9</v>
      </c>
      <c r="R4">
        <f>MAX($S$14:$S$17)</f>
        <v>0.1788888888888889</v>
      </c>
      <c r="S4">
        <f>MAX($T$14:$T$17)</f>
        <v>0.24</v>
      </c>
      <c r="T4">
        <f>MAX($U$14:$U$17)</f>
        <v>0.27</v>
      </c>
      <c r="U4">
        <f>MIN($S$14:$S$17)</f>
        <v>0.1277777777777778</v>
      </c>
      <c r="V4">
        <f>MIN($T$14:$T$17)</f>
        <v>0.18</v>
      </c>
      <c r="W4">
        <f>MIN($U$14:$U$17)</f>
        <v>0.21000000000000002</v>
      </c>
      <c r="AA4" t="s">
        <v>25</v>
      </c>
      <c r="AB4" t="s">
        <v>29</v>
      </c>
    </row>
    <row r="5" spans="1:28" x14ac:dyDescent="0.3">
      <c r="A5" s="2" t="s">
        <v>16</v>
      </c>
      <c r="B5" t="s">
        <v>20</v>
      </c>
      <c r="C5" t="s">
        <v>21</v>
      </c>
      <c r="D5">
        <v>0.18</v>
      </c>
      <c r="E5">
        <v>0.18</v>
      </c>
      <c r="F5">
        <v>0.2</v>
      </c>
      <c r="G5">
        <v>0.2</v>
      </c>
      <c r="H5">
        <v>0.22</v>
      </c>
      <c r="I5">
        <v>0.22</v>
      </c>
      <c r="J5">
        <v>0.19</v>
      </c>
      <c r="K5">
        <v>0.2</v>
      </c>
      <c r="L5">
        <v>0.21</v>
      </c>
      <c r="M5" s="1">
        <f t="shared" si="0"/>
        <v>0.18</v>
      </c>
      <c r="N5" s="1">
        <f t="shared" si="1"/>
        <v>0.22</v>
      </c>
      <c r="O5" s="1">
        <f t="shared" si="2"/>
        <v>0.22</v>
      </c>
      <c r="P5">
        <f>MIN($M$18:$M$21)</f>
        <v>2</v>
      </c>
      <c r="Q5">
        <f>MAX($O$18:$O$21)</f>
        <v>6</v>
      </c>
      <c r="R5">
        <f>MAX($S$18:$S$21)</f>
        <v>0.09</v>
      </c>
      <c r="S5">
        <f>MAX($T$18:$T$21)</f>
        <v>0.14666666666666667</v>
      </c>
      <c r="T5">
        <f>MAX($U$18:$U$21)</f>
        <v>0.22</v>
      </c>
      <c r="U5">
        <f>MIN($S$18:$S$21)</f>
        <v>0.06</v>
      </c>
      <c r="V5">
        <f>MIN($T$18:$T$21)</f>
        <v>8.8000000000000009E-2</v>
      </c>
      <c r="W5">
        <f>MIN($U$18:$U$21)</f>
        <v>0.11</v>
      </c>
      <c r="AA5" t="s">
        <v>26</v>
      </c>
      <c r="AB5" t="s">
        <v>30</v>
      </c>
    </row>
    <row r="6" spans="1:28" x14ac:dyDescent="0.3">
      <c r="A6" s="2" t="s">
        <v>17</v>
      </c>
      <c r="B6" t="s">
        <v>55</v>
      </c>
      <c r="C6" t="s">
        <v>22</v>
      </c>
      <c r="D6">
        <v>0.3</v>
      </c>
      <c r="E6">
        <v>0.32</v>
      </c>
      <c r="F6">
        <v>0.32</v>
      </c>
      <c r="G6">
        <v>0.28000000000000003</v>
      </c>
      <c r="H6">
        <v>0.28999999999999998</v>
      </c>
      <c r="I6">
        <v>0.31</v>
      </c>
      <c r="J6">
        <v>0.28000000000000003</v>
      </c>
      <c r="K6">
        <v>0.28999999999999998</v>
      </c>
      <c r="L6">
        <v>0.3</v>
      </c>
      <c r="M6" s="1">
        <f t="shared" si="0"/>
        <v>0.28000000000000003</v>
      </c>
      <c r="N6" s="1">
        <f t="shared" si="1"/>
        <v>0.32</v>
      </c>
      <c r="O6" s="1">
        <f t="shared" si="2"/>
        <v>0.32</v>
      </c>
      <c r="P6">
        <f>MIN($M$22:$M$25)</f>
        <v>4</v>
      </c>
      <c r="Q6">
        <f>MAX($O$22:$O$25)</f>
        <v>9</v>
      </c>
      <c r="R6">
        <f>MAX($S$22:$S$25)</f>
        <v>0.21777777777777779</v>
      </c>
      <c r="S6">
        <f>MAX($T$22:$T$25)</f>
        <v>0.28444444444444444</v>
      </c>
      <c r="T6">
        <f>MAX($U$22:$U$25)</f>
        <v>0.32</v>
      </c>
      <c r="U6">
        <f>MIN($S$22:$S$25)</f>
        <v>0.12444444444444445</v>
      </c>
      <c r="V6">
        <f>MIN($T$22:$T$25)</f>
        <v>0.17777777777777778</v>
      </c>
      <c r="W6">
        <f>MIN($U$22:$U$25)</f>
        <v>0.21333333333333332</v>
      </c>
      <c r="AA6" t="s">
        <v>27</v>
      </c>
      <c r="AB6" t="s">
        <v>31</v>
      </c>
    </row>
    <row r="7" spans="1:28" x14ac:dyDescent="0.3">
      <c r="AA7" t="s">
        <v>28</v>
      </c>
      <c r="AB7" t="s">
        <v>32</v>
      </c>
    </row>
    <row r="8" spans="1:28" x14ac:dyDescent="0.3">
      <c r="D8" t="s">
        <v>66</v>
      </c>
      <c r="E8" t="s">
        <v>66</v>
      </c>
      <c r="F8" t="s">
        <v>66</v>
      </c>
      <c r="G8" t="s">
        <v>66</v>
      </c>
      <c r="H8" t="s">
        <v>66</v>
      </c>
      <c r="I8" t="s">
        <v>66</v>
      </c>
      <c r="J8" t="s">
        <v>66</v>
      </c>
      <c r="K8" t="s">
        <v>66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70</v>
      </c>
      <c r="R8" t="s">
        <v>70</v>
      </c>
      <c r="S8" t="s">
        <v>71</v>
      </c>
      <c r="T8" t="s">
        <v>71</v>
      </c>
      <c r="U8" t="s">
        <v>71</v>
      </c>
      <c r="Y8" t="s">
        <v>72</v>
      </c>
      <c r="Z8" t="s">
        <v>73</v>
      </c>
    </row>
    <row r="9" spans="1:28" x14ac:dyDescent="0.3">
      <c r="A9" s="2" t="s">
        <v>33</v>
      </c>
      <c r="B9" s="2" t="s">
        <v>34</v>
      </c>
      <c r="C9" s="2" t="s">
        <v>35</v>
      </c>
      <c r="D9" s="2" t="s">
        <v>56</v>
      </c>
      <c r="E9" s="2" t="s">
        <v>57</v>
      </c>
      <c r="F9" s="2" t="s">
        <v>58</v>
      </c>
      <c r="G9" s="2" t="s">
        <v>59</v>
      </c>
      <c r="H9" s="2" t="s">
        <v>60</v>
      </c>
      <c r="I9" s="2" t="s">
        <v>61</v>
      </c>
      <c r="J9" s="2" t="s">
        <v>62</v>
      </c>
      <c r="K9" s="2" t="s">
        <v>63</v>
      </c>
      <c r="L9" s="2" t="s">
        <v>64</v>
      </c>
      <c r="M9" s="2" t="s">
        <v>36</v>
      </c>
      <c r="N9" s="2" t="s">
        <v>37</v>
      </c>
      <c r="O9" s="2" t="s">
        <v>38</v>
      </c>
      <c r="P9" s="2" t="s">
        <v>39</v>
      </c>
      <c r="Q9" s="2" t="s">
        <v>40</v>
      </c>
      <c r="R9" s="2" t="s">
        <v>41</v>
      </c>
      <c r="S9" s="2" t="s">
        <v>42</v>
      </c>
      <c r="T9" s="2" t="s">
        <v>43</v>
      </c>
      <c r="U9" s="2" t="s">
        <v>44</v>
      </c>
      <c r="Y9" s="2" t="s">
        <v>45</v>
      </c>
      <c r="Z9" s="2" t="s">
        <v>46</v>
      </c>
    </row>
    <row r="10" spans="1:28" x14ac:dyDescent="0.3">
      <c r="A10" s="2" t="s">
        <v>14</v>
      </c>
      <c r="B10" t="s">
        <v>25</v>
      </c>
      <c r="C10" t="str">
        <f>INDEX($AB$4:$AB$7, MATCH(B10, $AA$4:$AA$7, 0))</f>
        <v>Киберпанк-зеркало (RPi + GUI + сервер)</v>
      </c>
      <c r="D10">
        <v>4</v>
      </c>
      <c r="E10">
        <v>5</v>
      </c>
      <c r="F10">
        <v>5</v>
      </c>
      <c r="G10">
        <v>5</v>
      </c>
      <c r="H10">
        <v>5</v>
      </c>
      <c r="I10">
        <v>6</v>
      </c>
      <c r="J10">
        <v>5</v>
      </c>
      <c r="K10">
        <v>5</v>
      </c>
      <c r="L10">
        <v>5</v>
      </c>
      <c r="M10">
        <f>MIN(D10,G10,J10)</f>
        <v>4</v>
      </c>
      <c r="N10">
        <f>AVERAGE(E10,H10,K10)</f>
        <v>5</v>
      </c>
      <c r="O10">
        <f>MAX(F10,I10,L10)</f>
        <v>6</v>
      </c>
      <c r="P10">
        <f>IF(
  INDEX($C$3:$C$6, MATCH($A10, $A$3:$A$6, 0))="cost",
  INDEX($P$3:$P$6, MATCH($A10, $A$3:$A$6, 0)) / $O10,
  $M10 / INDEX($Q$3:$Q$6, MATCH($A10, $A$3:$A$6, 0))
)</f>
        <v>0.33333333333333331</v>
      </c>
      <c r="Q10">
        <f>IF(
  INDEX($C$3:$C$6, MATCH($A10, $A$3:$A$6, 0))="cost",
  INDEX($P$3:$P$6, MATCH($A10, $A$3:$A$6, 0)) / $N10,
  $N10 / INDEX($Q$3:$Q$6, MATCH($A10, $A$3:$A$6, 0))
)</f>
        <v>0.4</v>
      </c>
      <c r="R10">
        <f>IF(
  INDEX($C$3:$C$6, MATCH($A10, $A$3:$A$6, 0))="cost",
  INDEX($P$3:$P$6, MATCH($A10, $A$3:$A$6, 0)) / $M10,
  $O10 / INDEX($Q$3:$Q$6, MATCH($A10, $A$3:$A$6, 0))
)</f>
        <v>0.5</v>
      </c>
      <c r="S10">
        <f>P10 * INDEX($M$3:$M$6, MATCH($A10, $A$3:$A$6, 0))</f>
        <v>7.6666666666666661E-2</v>
      </c>
      <c r="T10">
        <f>Q10 * INDEX($N$3:$N$6, MATCH($A10, $A$3:$A$6, 0))</f>
        <v>0.10800000000000001</v>
      </c>
      <c r="U10">
        <f>R10 * INDEX($O$3:$O$6, MATCH($A10, $A$3:$A$6, 0))</f>
        <v>0.13500000000000001</v>
      </c>
      <c r="Y10">
        <f>SQRT(
  (1/3) * (
    (S10 - INDEX($R$3:$R$6, MATCH($A10, $A$3:$A$6, 0)))^2 +
    (T10 - INDEX($S$3:$S$6, MATCH($A10, $A$3:$A$6, 0)))^2 +
    (U10 - INDEX($T$3:$T$6, MATCH($A10, $A$3:$A$6, 0)))^2
  )
)</f>
        <v>9.1064893426692245E-2</v>
      </c>
      <c r="Z10">
        <f>SQRT(
  (1/3) * (
    (S10 - INDEX($U$3:$U$6, MATCH($A10, $A$3:$A$6, 0)))^2 +
    (T10 - INDEX($V$3:$V$6, MATCH($A10, $A$3:$A$6, 0)))^2 +
    (U10 - INDEX($W$3:$W$6, MATCH($A10, $A$3:$A$6, 0)))^2
  )
)</f>
        <v>0</v>
      </c>
    </row>
    <row r="11" spans="1:28" x14ac:dyDescent="0.3">
      <c r="A11" s="2" t="s">
        <v>14</v>
      </c>
      <c r="B11" t="s">
        <v>26</v>
      </c>
      <c r="C11" t="str">
        <f t="shared" ref="C11:C25" si="3">INDEX($AB$4:$AB$7, MATCH(B11, $AA$4:$AA$7, 0))</f>
        <v>Онлайн-магазин тортов + 3D-конструктор</v>
      </c>
      <c r="D11">
        <v>2</v>
      </c>
      <c r="E11">
        <v>3</v>
      </c>
      <c r="F11">
        <v>3</v>
      </c>
      <c r="G11">
        <v>3</v>
      </c>
      <c r="H11">
        <v>3</v>
      </c>
      <c r="I11">
        <v>4</v>
      </c>
      <c r="J11">
        <v>3</v>
      </c>
      <c r="K11">
        <v>3</v>
      </c>
      <c r="L11">
        <v>3</v>
      </c>
      <c r="M11">
        <f t="shared" ref="M11:M25" si="4">MIN(D11,G11,J11)</f>
        <v>2</v>
      </c>
      <c r="N11">
        <f t="shared" ref="N11:N25" si="5">AVERAGE(E11,H11,K11)</f>
        <v>3</v>
      </c>
      <c r="O11">
        <f t="shared" ref="O11:O25" si="6">MAX(F11,I11,L11)</f>
        <v>4</v>
      </c>
      <c r="P11">
        <f t="shared" ref="P11:P25" si="7">IF(
  INDEX($C$3:$C$6, MATCH($A11, $A$3:$A$6, 0))="cost",
  INDEX($P$3:$P$6, MATCH($A11, $A$3:$A$6, 0)) / $O11,
  $M11 / INDEX($Q$3:$Q$6, MATCH($A11, $A$3:$A$6, 0))
)</f>
        <v>0.5</v>
      </c>
      <c r="Q11">
        <f t="shared" ref="Q11:Q25" si="8">IF(
  INDEX($C$3:$C$6, MATCH($A11, $A$3:$A$6, 0))="cost",
  INDEX($P$3:$P$6, MATCH($A11, $A$3:$A$6, 0)) / $N11,
  $N11 / INDEX($Q$3:$Q$6, MATCH($A11, $A$3:$A$6, 0))
)</f>
        <v>0.66666666666666663</v>
      </c>
      <c r="R11">
        <f t="shared" ref="R11:R25" si="9">IF(
  INDEX($C$3:$C$6, MATCH($A11, $A$3:$A$6, 0))="cost",
  INDEX($P$3:$P$6, MATCH($A11, $A$3:$A$6, 0)) / $M11,
  $O11 / INDEX($Q$3:$Q$6, MATCH($A11, $A$3:$A$6, 0))
)</f>
        <v>1</v>
      </c>
      <c r="S11">
        <f t="shared" ref="S11:S25" si="10">P11 * INDEX($M$3:$M$6, MATCH($A11, $A$3:$A$6, 0))</f>
        <v>0.115</v>
      </c>
      <c r="T11">
        <f t="shared" ref="T11:T25" si="11">Q11 * INDEX($N$3:$N$6, MATCH($A11, $A$3:$A$6, 0))</f>
        <v>0.18</v>
      </c>
      <c r="U11">
        <f t="shared" ref="U11:U25" si="12">R11 * INDEX($O$3:$O$6, MATCH($A11, $A$3:$A$6, 0))</f>
        <v>0.27</v>
      </c>
      <c r="Y11">
        <f t="shared" ref="Y11:Y25" si="13">SQRT(
  (1/3) * (
    (S11 - INDEX($R$3:$R$6, MATCH($A11, $A$3:$A$6, 0)))^2 +
    (T11 - INDEX($S$3:$S$6, MATCH($A11, $A$3:$A$6, 0)))^2 +
    (U11 - INDEX($T$3:$T$6, MATCH($A11, $A$3:$A$6, 0)))^2
  )
)</f>
        <v>0</v>
      </c>
      <c r="Z11">
        <f t="shared" ref="Z11:Z25" si="14">SQRT(
  (1/3) * (
    (S11 - INDEX($U$3:$U$6, MATCH($A11, $A$3:$A$6, 0)))^2 +
    (T11 - INDEX($V$3:$V$6, MATCH($A11, $A$3:$A$6, 0)))^2 +
    (U11 - INDEX($W$3:$W$6, MATCH($A11, $A$3:$A$6, 0)))^2
  )
)</f>
        <v>9.1064893426692245E-2</v>
      </c>
    </row>
    <row r="12" spans="1:28" x14ac:dyDescent="0.3">
      <c r="A12" s="2" t="s">
        <v>14</v>
      </c>
      <c r="B12" t="s">
        <v>27</v>
      </c>
      <c r="C12" t="str">
        <f t="shared" si="3"/>
        <v>Сервис заявок/тикетов</v>
      </c>
      <c r="D12">
        <v>3</v>
      </c>
      <c r="E12">
        <v>4</v>
      </c>
      <c r="F12">
        <v>4</v>
      </c>
      <c r="G12">
        <v>4</v>
      </c>
      <c r="H12">
        <v>4</v>
      </c>
      <c r="I12">
        <v>5</v>
      </c>
      <c r="J12">
        <v>4</v>
      </c>
      <c r="K12">
        <v>4</v>
      </c>
      <c r="L12">
        <v>4</v>
      </c>
      <c r="M12">
        <f t="shared" si="4"/>
        <v>3</v>
      </c>
      <c r="N12">
        <f t="shared" si="5"/>
        <v>4</v>
      </c>
      <c r="O12">
        <f t="shared" si="6"/>
        <v>5</v>
      </c>
      <c r="P12">
        <f t="shared" si="7"/>
        <v>0.4</v>
      </c>
      <c r="Q12">
        <f t="shared" si="8"/>
        <v>0.5</v>
      </c>
      <c r="R12">
        <f t="shared" si="9"/>
        <v>0.66666666666666663</v>
      </c>
      <c r="S12">
        <f t="shared" si="10"/>
        <v>9.2000000000000012E-2</v>
      </c>
      <c r="T12">
        <f t="shared" si="11"/>
        <v>0.13500000000000001</v>
      </c>
      <c r="U12">
        <f t="shared" si="12"/>
        <v>0.18</v>
      </c>
      <c r="Y12">
        <f t="shared" si="13"/>
        <v>5.9593064473421185E-2</v>
      </c>
      <c r="Z12">
        <f t="shared" si="14"/>
        <v>3.1565334947856481E-2</v>
      </c>
    </row>
    <row r="13" spans="1:28" x14ac:dyDescent="0.3">
      <c r="A13" s="2" t="s">
        <v>14</v>
      </c>
      <c r="B13" t="s">
        <v>28</v>
      </c>
      <c r="C13" t="str">
        <f t="shared" si="3"/>
        <v>Планировщик питания + список покупок</v>
      </c>
      <c r="D13">
        <v>4</v>
      </c>
      <c r="E13">
        <v>5</v>
      </c>
      <c r="F13">
        <v>5</v>
      </c>
      <c r="G13">
        <v>5</v>
      </c>
      <c r="H13">
        <v>5</v>
      </c>
      <c r="I13">
        <v>6</v>
      </c>
      <c r="J13">
        <v>5</v>
      </c>
      <c r="K13">
        <v>5</v>
      </c>
      <c r="L13">
        <v>5</v>
      </c>
      <c r="M13">
        <f t="shared" si="4"/>
        <v>4</v>
      </c>
      <c r="N13">
        <f t="shared" si="5"/>
        <v>5</v>
      </c>
      <c r="O13">
        <f t="shared" si="6"/>
        <v>6</v>
      </c>
      <c r="P13">
        <f t="shared" si="7"/>
        <v>0.33333333333333331</v>
      </c>
      <c r="Q13">
        <f t="shared" si="8"/>
        <v>0.4</v>
      </c>
      <c r="R13">
        <f t="shared" si="9"/>
        <v>0.5</v>
      </c>
      <c r="S13">
        <f t="shared" si="10"/>
        <v>7.6666666666666661E-2</v>
      </c>
      <c r="T13">
        <f t="shared" si="11"/>
        <v>0.10800000000000001</v>
      </c>
      <c r="U13">
        <f t="shared" si="12"/>
        <v>0.13500000000000001</v>
      </c>
      <c r="Y13">
        <f t="shared" si="13"/>
        <v>9.1064893426692245E-2</v>
      </c>
      <c r="Z13">
        <f t="shared" si="14"/>
        <v>0</v>
      </c>
    </row>
    <row r="14" spans="1:28" x14ac:dyDescent="0.3">
      <c r="A14" s="2" t="s">
        <v>47</v>
      </c>
      <c r="B14" t="s">
        <v>25</v>
      </c>
      <c r="C14" t="str">
        <f t="shared" si="3"/>
        <v>Киберпанк-зеркало (RPi + GUI + сервер)</v>
      </c>
      <c r="D14">
        <v>7</v>
      </c>
      <c r="E14">
        <v>8</v>
      </c>
      <c r="F14">
        <v>8</v>
      </c>
      <c r="G14">
        <v>8</v>
      </c>
      <c r="H14">
        <v>8</v>
      </c>
      <c r="I14">
        <v>9</v>
      </c>
      <c r="J14">
        <v>8</v>
      </c>
      <c r="K14">
        <v>8</v>
      </c>
      <c r="L14">
        <v>8</v>
      </c>
      <c r="M14">
        <f t="shared" si="4"/>
        <v>7</v>
      </c>
      <c r="N14">
        <f t="shared" si="5"/>
        <v>8</v>
      </c>
      <c r="O14">
        <f t="shared" si="6"/>
        <v>9</v>
      </c>
      <c r="P14">
        <f t="shared" si="7"/>
        <v>0.77777777777777779</v>
      </c>
      <c r="Q14">
        <f t="shared" si="8"/>
        <v>0.88888888888888884</v>
      </c>
      <c r="R14">
        <f t="shared" si="9"/>
        <v>1</v>
      </c>
      <c r="S14">
        <f t="shared" si="10"/>
        <v>0.1788888888888889</v>
      </c>
      <c r="T14">
        <f t="shared" si="11"/>
        <v>0.24</v>
      </c>
      <c r="U14">
        <f t="shared" si="12"/>
        <v>0.27</v>
      </c>
      <c r="Y14">
        <f t="shared" si="13"/>
        <v>0</v>
      </c>
      <c r="Z14">
        <f t="shared" si="14"/>
        <v>5.7190750065059609E-2</v>
      </c>
    </row>
    <row r="15" spans="1:28" x14ac:dyDescent="0.3">
      <c r="A15" s="2" t="s">
        <v>47</v>
      </c>
      <c r="B15" t="s">
        <v>26</v>
      </c>
      <c r="C15" t="str">
        <f t="shared" si="3"/>
        <v>Онлайн-магазин тортов + 3D-конструктор</v>
      </c>
      <c r="D15">
        <v>6</v>
      </c>
      <c r="E15">
        <v>7</v>
      </c>
      <c r="F15">
        <v>7</v>
      </c>
      <c r="G15">
        <v>7</v>
      </c>
      <c r="H15">
        <v>7</v>
      </c>
      <c r="I15">
        <v>8</v>
      </c>
      <c r="J15">
        <v>7</v>
      </c>
      <c r="K15">
        <v>7</v>
      </c>
      <c r="L15">
        <v>7</v>
      </c>
      <c r="M15">
        <f t="shared" si="4"/>
        <v>6</v>
      </c>
      <c r="N15">
        <f t="shared" si="5"/>
        <v>7</v>
      </c>
      <c r="O15">
        <f t="shared" si="6"/>
        <v>8</v>
      </c>
      <c r="P15">
        <f t="shared" si="7"/>
        <v>0.66666666666666663</v>
      </c>
      <c r="Q15">
        <f t="shared" si="8"/>
        <v>0.77777777777777779</v>
      </c>
      <c r="R15">
        <f t="shared" si="9"/>
        <v>0.88888888888888884</v>
      </c>
      <c r="S15">
        <f t="shared" si="10"/>
        <v>0.15333333333333332</v>
      </c>
      <c r="T15">
        <f t="shared" si="11"/>
        <v>0.21000000000000002</v>
      </c>
      <c r="U15">
        <f t="shared" si="12"/>
        <v>0.24</v>
      </c>
      <c r="Y15">
        <f t="shared" si="13"/>
        <v>2.8595375032529808E-2</v>
      </c>
      <c r="Z15">
        <f t="shared" si="14"/>
        <v>2.8595375032529791E-2</v>
      </c>
    </row>
    <row r="16" spans="1:28" x14ac:dyDescent="0.3">
      <c r="A16" s="2" t="s">
        <v>47</v>
      </c>
      <c r="B16" t="s">
        <v>27</v>
      </c>
      <c r="C16" t="str">
        <f t="shared" si="3"/>
        <v>Сервис заявок/тикетов</v>
      </c>
      <c r="D16">
        <v>5</v>
      </c>
      <c r="E16">
        <v>6</v>
      </c>
      <c r="F16">
        <v>6</v>
      </c>
      <c r="G16">
        <v>6</v>
      </c>
      <c r="H16">
        <v>6</v>
      </c>
      <c r="I16">
        <v>7</v>
      </c>
      <c r="J16">
        <v>6</v>
      </c>
      <c r="K16">
        <v>6</v>
      </c>
      <c r="L16">
        <v>6</v>
      </c>
      <c r="M16">
        <f t="shared" si="4"/>
        <v>5</v>
      </c>
      <c r="N16">
        <f t="shared" si="5"/>
        <v>6</v>
      </c>
      <c r="O16">
        <f t="shared" si="6"/>
        <v>7</v>
      </c>
      <c r="P16">
        <f t="shared" si="7"/>
        <v>0.55555555555555558</v>
      </c>
      <c r="Q16">
        <f t="shared" si="8"/>
        <v>0.66666666666666663</v>
      </c>
      <c r="R16">
        <f t="shared" si="9"/>
        <v>0.77777777777777779</v>
      </c>
      <c r="S16">
        <f t="shared" si="10"/>
        <v>0.1277777777777778</v>
      </c>
      <c r="T16">
        <f t="shared" si="11"/>
        <v>0.18</v>
      </c>
      <c r="U16">
        <f t="shared" si="12"/>
        <v>0.21000000000000002</v>
      </c>
      <c r="Y16">
        <f t="shared" si="13"/>
        <v>5.7190750065059609E-2</v>
      </c>
      <c r="Z16">
        <f t="shared" si="14"/>
        <v>0</v>
      </c>
    </row>
    <row r="17" spans="1:26" x14ac:dyDescent="0.3">
      <c r="A17" s="2" t="s">
        <v>47</v>
      </c>
      <c r="B17" t="s">
        <v>28</v>
      </c>
      <c r="C17" t="str">
        <f t="shared" si="3"/>
        <v>Планировщик питания + список покупок</v>
      </c>
      <c r="D17">
        <v>5</v>
      </c>
      <c r="E17">
        <v>6</v>
      </c>
      <c r="F17">
        <v>6</v>
      </c>
      <c r="G17">
        <v>6</v>
      </c>
      <c r="H17">
        <v>6</v>
      </c>
      <c r="I17">
        <v>7</v>
      </c>
      <c r="J17">
        <v>6</v>
      </c>
      <c r="K17">
        <v>6</v>
      </c>
      <c r="L17">
        <v>6</v>
      </c>
      <c r="M17">
        <f t="shared" si="4"/>
        <v>5</v>
      </c>
      <c r="N17">
        <f t="shared" si="5"/>
        <v>6</v>
      </c>
      <c r="O17">
        <f t="shared" si="6"/>
        <v>7</v>
      </c>
      <c r="P17">
        <f t="shared" si="7"/>
        <v>0.55555555555555558</v>
      </c>
      <c r="Q17">
        <f t="shared" si="8"/>
        <v>0.66666666666666663</v>
      </c>
      <c r="R17">
        <f t="shared" si="9"/>
        <v>0.77777777777777779</v>
      </c>
      <c r="S17">
        <f t="shared" si="10"/>
        <v>0.1277777777777778</v>
      </c>
      <c r="T17">
        <f t="shared" si="11"/>
        <v>0.18</v>
      </c>
      <c r="U17">
        <f t="shared" si="12"/>
        <v>0.21000000000000002</v>
      </c>
      <c r="Y17">
        <f t="shared" si="13"/>
        <v>5.7190750065059609E-2</v>
      </c>
      <c r="Z17">
        <f t="shared" si="14"/>
        <v>0</v>
      </c>
    </row>
    <row r="18" spans="1:26" x14ac:dyDescent="0.3">
      <c r="A18" s="2" t="s">
        <v>48</v>
      </c>
      <c r="B18" t="s">
        <v>25</v>
      </c>
      <c r="C18" t="str">
        <f t="shared" si="3"/>
        <v>Киберпанк-зеркало (RPi + GUI + сервер)</v>
      </c>
      <c r="D18">
        <v>4</v>
      </c>
      <c r="E18">
        <v>5</v>
      </c>
      <c r="F18">
        <v>5</v>
      </c>
      <c r="G18">
        <v>5</v>
      </c>
      <c r="H18">
        <v>5</v>
      </c>
      <c r="I18">
        <v>6</v>
      </c>
      <c r="J18">
        <v>5</v>
      </c>
      <c r="K18">
        <v>5</v>
      </c>
      <c r="L18">
        <v>5</v>
      </c>
      <c r="M18">
        <f t="shared" si="4"/>
        <v>4</v>
      </c>
      <c r="N18">
        <f t="shared" si="5"/>
        <v>5</v>
      </c>
      <c r="O18">
        <f t="shared" si="6"/>
        <v>6</v>
      </c>
      <c r="P18">
        <f t="shared" si="7"/>
        <v>0.33333333333333331</v>
      </c>
      <c r="Q18">
        <f t="shared" si="8"/>
        <v>0.4</v>
      </c>
      <c r="R18">
        <f t="shared" si="9"/>
        <v>0.5</v>
      </c>
      <c r="S18">
        <f t="shared" si="10"/>
        <v>0.06</v>
      </c>
      <c r="T18">
        <f t="shared" si="11"/>
        <v>8.8000000000000009E-2</v>
      </c>
      <c r="U18">
        <f t="shared" si="12"/>
        <v>0.11</v>
      </c>
      <c r="Y18">
        <f t="shared" si="13"/>
        <v>7.403102452750869E-2</v>
      </c>
      <c r="Z18">
        <f t="shared" si="14"/>
        <v>0</v>
      </c>
    </row>
    <row r="19" spans="1:26" x14ac:dyDescent="0.3">
      <c r="A19" s="2" t="s">
        <v>48</v>
      </c>
      <c r="B19" t="s">
        <v>26</v>
      </c>
      <c r="C19" t="str">
        <f t="shared" si="3"/>
        <v>Онлайн-магазин тортов + 3D-конструктор</v>
      </c>
      <c r="D19">
        <v>2</v>
      </c>
      <c r="E19">
        <v>3</v>
      </c>
      <c r="F19">
        <v>3</v>
      </c>
      <c r="G19">
        <v>3</v>
      </c>
      <c r="H19">
        <v>3</v>
      </c>
      <c r="I19">
        <v>4</v>
      </c>
      <c r="J19">
        <v>3</v>
      </c>
      <c r="K19">
        <v>3</v>
      </c>
      <c r="L19">
        <v>3</v>
      </c>
      <c r="M19">
        <f t="shared" si="4"/>
        <v>2</v>
      </c>
      <c r="N19">
        <f t="shared" si="5"/>
        <v>3</v>
      </c>
      <c r="O19">
        <f t="shared" si="6"/>
        <v>4</v>
      </c>
      <c r="P19">
        <f t="shared" si="7"/>
        <v>0.5</v>
      </c>
      <c r="Q19">
        <f t="shared" si="8"/>
        <v>0.66666666666666663</v>
      </c>
      <c r="R19">
        <f t="shared" si="9"/>
        <v>1</v>
      </c>
      <c r="S19">
        <f t="shared" si="10"/>
        <v>0.09</v>
      </c>
      <c r="T19">
        <f t="shared" si="11"/>
        <v>0.14666666666666667</v>
      </c>
      <c r="U19">
        <f t="shared" si="12"/>
        <v>0.22</v>
      </c>
      <c r="Y19">
        <f t="shared" si="13"/>
        <v>0</v>
      </c>
      <c r="Z19">
        <f t="shared" si="14"/>
        <v>7.403102452750869E-2</v>
      </c>
    </row>
    <row r="20" spans="1:26" x14ac:dyDescent="0.3">
      <c r="A20" s="2" t="s">
        <v>48</v>
      </c>
      <c r="B20" t="s">
        <v>27</v>
      </c>
      <c r="C20" t="str">
        <f t="shared" si="3"/>
        <v>Сервис заявок/тикетов</v>
      </c>
      <c r="D20">
        <v>3</v>
      </c>
      <c r="E20">
        <v>4</v>
      </c>
      <c r="F20">
        <v>4</v>
      </c>
      <c r="G20">
        <v>4</v>
      </c>
      <c r="H20">
        <v>4</v>
      </c>
      <c r="I20">
        <v>5</v>
      </c>
      <c r="J20">
        <v>4</v>
      </c>
      <c r="K20">
        <v>4</v>
      </c>
      <c r="L20">
        <v>4</v>
      </c>
      <c r="M20">
        <f t="shared" si="4"/>
        <v>3</v>
      </c>
      <c r="N20">
        <f t="shared" si="5"/>
        <v>4</v>
      </c>
      <c r="O20">
        <f t="shared" si="6"/>
        <v>5</v>
      </c>
      <c r="P20">
        <f t="shared" si="7"/>
        <v>0.4</v>
      </c>
      <c r="Q20">
        <f t="shared" si="8"/>
        <v>0.5</v>
      </c>
      <c r="R20">
        <f t="shared" si="9"/>
        <v>0.66666666666666663</v>
      </c>
      <c r="S20">
        <f t="shared" si="10"/>
        <v>7.1999999999999995E-2</v>
      </c>
      <c r="T20">
        <f t="shared" si="11"/>
        <v>0.11</v>
      </c>
      <c r="U20">
        <f t="shared" si="12"/>
        <v>0.14666666666666667</v>
      </c>
      <c r="Y20">
        <f t="shared" si="13"/>
        <v>4.8463808566194429E-2</v>
      </c>
      <c r="Z20">
        <f t="shared" si="14"/>
        <v>2.5641401706643911E-2</v>
      </c>
    </row>
    <row r="21" spans="1:26" x14ac:dyDescent="0.3">
      <c r="A21" s="2" t="s">
        <v>48</v>
      </c>
      <c r="B21" t="s">
        <v>28</v>
      </c>
      <c r="C21" t="str">
        <f t="shared" si="3"/>
        <v>Планировщик питания + список покупок</v>
      </c>
      <c r="D21">
        <v>3</v>
      </c>
      <c r="E21">
        <v>4</v>
      </c>
      <c r="F21">
        <v>5</v>
      </c>
      <c r="G21">
        <v>4</v>
      </c>
      <c r="H21">
        <v>4</v>
      </c>
      <c r="I21">
        <v>6</v>
      </c>
      <c r="J21">
        <v>4</v>
      </c>
      <c r="K21">
        <v>4</v>
      </c>
      <c r="L21">
        <v>5</v>
      </c>
      <c r="M21">
        <f t="shared" si="4"/>
        <v>3</v>
      </c>
      <c r="N21">
        <f t="shared" si="5"/>
        <v>4</v>
      </c>
      <c r="O21">
        <f t="shared" si="6"/>
        <v>6</v>
      </c>
      <c r="P21">
        <f t="shared" si="7"/>
        <v>0.33333333333333331</v>
      </c>
      <c r="Q21">
        <f t="shared" si="8"/>
        <v>0.5</v>
      </c>
      <c r="R21">
        <f t="shared" si="9"/>
        <v>0.66666666666666663</v>
      </c>
      <c r="S21">
        <f t="shared" si="10"/>
        <v>0.06</v>
      </c>
      <c r="T21">
        <f t="shared" si="11"/>
        <v>0.11</v>
      </c>
      <c r="U21">
        <f t="shared" si="12"/>
        <v>0.14666666666666667</v>
      </c>
      <c r="Y21">
        <f t="shared" si="13"/>
        <v>5.0405760987616691E-2</v>
      </c>
      <c r="Z21">
        <f t="shared" si="14"/>
        <v>2.4687678738218411E-2</v>
      </c>
    </row>
    <row r="22" spans="1:26" x14ac:dyDescent="0.3">
      <c r="A22" s="2" t="s">
        <v>49</v>
      </c>
      <c r="B22" t="s">
        <v>25</v>
      </c>
      <c r="C22" t="str">
        <f t="shared" si="3"/>
        <v>Киберпанк-зеркало (RPi + GUI + сервер)</v>
      </c>
      <c r="D22">
        <v>6</v>
      </c>
      <c r="E22">
        <v>7</v>
      </c>
      <c r="F22">
        <v>7</v>
      </c>
      <c r="G22">
        <v>7</v>
      </c>
      <c r="H22">
        <v>7</v>
      </c>
      <c r="I22">
        <v>8</v>
      </c>
      <c r="J22">
        <v>7</v>
      </c>
      <c r="K22">
        <v>7</v>
      </c>
      <c r="L22">
        <v>7</v>
      </c>
      <c r="M22">
        <f t="shared" si="4"/>
        <v>6</v>
      </c>
      <c r="N22">
        <f t="shared" si="5"/>
        <v>7</v>
      </c>
      <c r="O22">
        <f t="shared" si="6"/>
        <v>8</v>
      </c>
      <c r="P22">
        <f t="shared" si="7"/>
        <v>0.66666666666666663</v>
      </c>
      <c r="Q22">
        <f t="shared" si="8"/>
        <v>0.77777777777777779</v>
      </c>
      <c r="R22">
        <f t="shared" si="9"/>
        <v>0.88888888888888884</v>
      </c>
      <c r="S22">
        <f t="shared" si="10"/>
        <v>0.18666666666666668</v>
      </c>
      <c r="T22">
        <f t="shared" si="11"/>
        <v>0.24888888888888891</v>
      </c>
      <c r="U22">
        <f t="shared" si="12"/>
        <v>0.28444444444444444</v>
      </c>
      <c r="Y22">
        <f t="shared" si="13"/>
        <v>3.41384255460827E-2</v>
      </c>
      <c r="Z22">
        <f t="shared" si="14"/>
        <v>6.8276851092165414E-2</v>
      </c>
    </row>
    <row r="23" spans="1:26" x14ac:dyDescent="0.3">
      <c r="A23" s="2" t="s">
        <v>49</v>
      </c>
      <c r="B23" t="s">
        <v>26</v>
      </c>
      <c r="C23" t="str">
        <f t="shared" si="3"/>
        <v>Онлайн-магазин тортов + 3D-конструктор</v>
      </c>
      <c r="D23">
        <v>7</v>
      </c>
      <c r="E23">
        <v>8</v>
      </c>
      <c r="F23">
        <v>8</v>
      </c>
      <c r="G23">
        <v>8</v>
      </c>
      <c r="H23">
        <v>8</v>
      </c>
      <c r="I23">
        <v>9</v>
      </c>
      <c r="J23">
        <v>8</v>
      </c>
      <c r="K23">
        <v>8</v>
      </c>
      <c r="L23">
        <v>8</v>
      </c>
      <c r="M23">
        <f t="shared" si="4"/>
        <v>7</v>
      </c>
      <c r="N23">
        <f t="shared" si="5"/>
        <v>8</v>
      </c>
      <c r="O23">
        <f t="shared" si="6"/>
        <v>9</v>
      </c>
      <c r="P23">
        <f t="shared" si="7"/>
        <v>0.77777777777777779</v>
      </c>
      <c r="Q23">
        <f t="shared" si="8"/>
        <v>0.88888888888888884</v>
      </c>
      <c r="R23">
        <f t="shared" si="9"/>
        <v>1</v>
      </c>
      <c r="S23">
        <f t="shared" si="10"/>
        <v>0.21777777777777779</v>
      </c>
      <c r="T23">
        <f t="shared" si="11"/>
        <v>0.28444444444444444</v>
      </c>
      <c r="U23">
        <f t="shared" si="12"/>
        <v>0.32</v>
      </c>
      <c r="Y23">
        <f t="shared" si="13"/>
        <v>0</v>
      </c>
      <c r="Z23">
        <f t="shared" si="14"/>
        <v>0.10241527663824811</v>
      </c>
    </row>
    <row r="24" spans="1:26" x14ac:dyDescent="0.3">
      <c r="A24" s="2" t="s">
        <v>49</v>
      </c>
      <c r="B24" t="s">
        <v>27</v>
      </c>
      <c r="C24" t="str">
        <f t="shared" si="3"/>
        <v>Сервис заявок/тикетов</v>
      </c>
      <c r="D24">
        <v>4</v>
      </c>
      <c r="E24">
        <v>5</v>
      </c>
      <c r="F24">
        <v>5</v>
      </c>
      <c r="G24">
        <v>5</v>
      </c>
      <c r="H24">
        <v>5</v>
      </c>
      <c r="I24">
        <v>6</v>
      </c>
      <c r="J24">
        <v>5</v>
      </c>
      <c r="K24">
        <v>5</v>
      </c>
      <c r="L24">
        <v>5</v>
      </c>
      <c r="M24">
        <f t="shared" si="4"/>
        <v>4</v>
      </c>
      <c r="N24">
        <f t="shared" si="5"/>
        <v>5</v>
      </c>
      <c r="O24">
        <f t="shared" si="6"/>
        <v>6</v>
      </c>
      <c r="P24">
        <f t="shared" si="7"/>
        <v>0.44444444444444442</v>
      </c>
      <c r="Q24">
        <f t="shared" si="8"/>
        <v>0.55555555555555558</v>
      </c>
      <c r="R24">
        <f t="shared" si="9"/>
        <v>0.66666666666666663</v>
      </c>
      <c r="S24">
        <f t="shared" si="10"/>
        <v>0.12444444444444445</v>
      </c>
      <c r="T24">
        <f t="shared" si="11"/>
        <v>0.17777777777777778</v>
      </c>
      <c r="U24">
        <f t="shared" si="12"/>
        <v>0.21333333333333332</v>
      </c>
      <c r="Y24">
        <f t="shared" si="13"/>
        <v>0.10241527663824811</v>
      </c>
      <c r="Z24">
        <f t="shared" si="14"/>
        <v>0</v>
      </c>
    </row>
    <row r="25" spans="1:26" x14ac:dyDescent="0.3">
      <c r="A25" s="2" t="s">
        <v>49</v>
      </c>
      <c r="B25" t="s">
        <v>28</v>
      </c>
      <c r="C25" t="str">
        <f t="shared" si="3"/>
        <v>Планировщик питания + список покупок</v>
      </c>
      <c r="D25">
        <v>5</v>
      </c>
      <c r="E25">
        <v>6</v>
      </c>
      <c r="F25">
        <v>6</v>
      </c>
      <c r="G25">
        <v>6</v>
      </c>
      <c r="H25">
        <v>6</v>
      </c>
      <c r="I25">
        <v>7</v>
      </c>
      <c r="J25">
        <v>6</v>
      </c>
      <c r="K25">
        <v>6</v>
      </c>
      <c r="L25">
        <v>6</v>
      </c>
      <c r="M25">
        <f t="shared" si="4"/>
        <v>5</v>
      </c>
      <c r="N25">
        <f t="shared" si="5"/>
        <v>6</v>
      </c>
      <c r="O25">
        <f t="shared" si="6"/>
        <v>7</v>
      </c>
      <c r="P25">
        <f t="shared" si="7"/>
        <v>0.55555555555555558</v>
      </c>
      <c r="Q25">
        <f t="shared" si="8"/>
        <v>0.66666666666666663</v>
      </c>
      <c r="R25">
        <f t="shared" si="9"/>
        <v>0.77777777777777779</v>
      </c>
      <c r="S25">
        <f t="shared" si="10"/>
        <v>0.15555555555555559</v>
      </c>
      <c r="T25">
        <f t="shared" si="11"/>
        <v>0.21333333333333332</v>
      </c>
      <c r="U25">
        <f t="shared" si="12"/>
        <v>0.24888888888888891</v>
      </c>
      <c r="Y25">
        <f t="shared" si="13"/>
        <v>6.82768510921654E-2</v>
      </c>
      <c r="Z25">
        <f t="shared" si="14"/>
        <v>3.4138425546082714E-2</v>
      </c>
    </row>
    <row r="26" spans="1:26" x14ac:dyDescent="0.3">
      <c r="C26" t="s">
        <v>74</v>
      </c>
      <c r="D26" t="s">
        <v>75</v>
      </c>
      <c r="E26" t="s">
        <v>76</v>
      </c>
    </row>
    <row r="27" spans="1:26" x14ac:dyDescent="0.3">
      <c r="A27" s="2" t="s">
        <v>50</v>
      </c>
      <c r="B27" s="2" t="s">
        <v>24</v>
      </c>
      <c r="C27" s="2" t="s">
        <v>51</v>
      </c>
      <c r="D27" s="2" t="s">
        <v>52</v>
      </c>
      <c r="E27" s="2" t="s">
        <v>53</v>
      </c>
      <c r="F27" s="2" t="s">
        <v>54</v>
      </c>
    </row>
    <row r="28" spans="1:26" x14ac:dyDescent="0.3">
      <c r="A28" s="2" t="s">
        <v>25</v>
      </c>
      <c r="B28" t="str">
        <f>INDEX($AB$4:$AB$7, MATCH(A28, $AA$4:$AA$7, 0))</f>
        <v>Киберпанк-зеркало (RPi + GUI + сервер)</v>
      </c>
      <c r="C28">
        <f>SUMIF($B$10:$B$25, $A28, $Y$10:$Y$25)</f>
        <v>0.19923434350028363</v>
      </c>
      <c r="D28">
        <f>SUMIF($B$10:$B$25, $A28, $Z$10:$Z$25)</f>
        <v>0.12546760115722502</v>
      </c>
      <c r="E28">
        <f>D28/(C28+D28)</f>
        <v>0.38640853010463672</v>
      </c>
      <c r="F28">
        <f>RANK(E28, $E$28:$E$31, 0)</f>
        <v>2</v>
      </c>
    </row>
    <row r="29" spans="1:26" x14ac:dyDescent="0.3">
      <c r="A29" s="2" t="s">
        <v>26</v>
      </c>
      <c r="B29" t="str">
        <f t="shared" ref="B29:B31" si="15">INDEX($AB$4:$AB$7, MATCH(A29, $AA$4:$AA$7, 0))</f>
        <v>Онлайн-магазин тортов + 3D-конструктор</v>
      </c>
      <c r="C29">
        <f t="shared" ref="C29:C31" si="16">SUMIF($B$10:$B$25, $A29, $Y$10:$Y$25)</f>
        <v>2.8595375032529808E-2</v>
      </c>
      <c r="D29">
        <f t="shared" ref="D29:D31" si="17">SUMIF($B$10:$B$25, $A29, $Z$10:$Z$25)</f>
        <v>0.29610656962497883</v>
      </c>
      <c r="E29">
        <f t="shared" ref="E29:E31" si="18">D29/(C29+D29)</f>
        <v>0.91193346543491816</v>
      </c>
      <c r="F29">
        <f t="shared" ref="F29:F31" si="19">RANK(E29, $E$28:$E$31, 0)</f>
        <v>1</v>
      </c>
    </row>
    <row r="30" spans="1:26" x14ac:dyDescent="0.3">
      <c r="A30" s="2" t="s">
        <v>27</v>
      </c>
      <c r="B30" t="str">
        <f t="shared" si="15"/>
        <v>Сервис заявок/тикетов</v>
      </c>
      <c r="C30">
        <f t="shared" si="16"/>
        <v>0.26766289974292334</v>
      </c>
      <c r="D30">
        <f t="shared" si="17"/>
        <v>5.7206736654500392E-2</v>
      </c>
      <c r="E30">
        <f t="shared" si="18"/>
        <v>0.17609136171937445</v>
      </c>
      <c r="F30">
        <f t="shared" si="19"/>
        <v>4</v>
      </c>
    </row>
    <row r="31" spans="1:26" x14ac:dyDescent="0.3">
      <c r="A31" s="2" t="s">
        <v>28</v>
      </c>
      <c r="B31" t="str">
        <f t="shared" si="15"/>
        <v>Планировщик питания + список покупок</v>
      </c>
      <c r="C31">
        <f t="shared" si="16"/>
        <v>0.26693825557153394</v>
      </c>
      <c r="D31">
        <f t="shared" si="17"/>
        <v>5.8826104284301128E-2</v>
      </c>
      <c r="E31">
        <f t="shared" si="18"/>
        <v>0.18057869900296719</v>
      </c>
      <c r="F31">
        <f t="shared" si="19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john</dc:creator>
  <cp:lastModifiedBy>connor john</cp:lastModifiedBy>
  <dcterms:created xsi:type="dcterms:W3CDTF">2015-06-05T18:17:20Z</dcterms:created>
  <dcterms:modified xsi:type="dcterms:W3CDTF">2026-01-08T15:29:45Z</dcterms:modified>
</cp:coreProperties>
</file>